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hiag\OneDrive\Área de Trabalho\"/>
    </mc:Choice>
  </mc:AlternateContent>
  <xr:revisionPtr revIDLastSave="0" documentId="13_ncr:1_{35871DA9-F386-4C87-A8AA-7DB3649C6A49}" xr6:coauthVersionLast="47" xr6:coauthVersionMax="47" xr10:uidLastSave="{00000000-0000-0000-0000-000000000000}"/>
  <bookViews>
    <workbookView xWindow="-120" yWindow="-120" windowWidth="20730" windowHeight="11040" tabRatio="0" firstSheet="5" activeTab="5" xr2:uid="{28DD5B76-0634-4F87-BE60-8BFA7EF2E23B}"/>
  </bookViews>
  <sheets>
    <sheet name="A̳ssets" sheetId="1" state="hidden" r:id="rId1"/>
    <sheet name="Detalhes1" sheetId="6" state="hidden" r:id="rId2"/>
    <sheet name="Planilha1" sheetId="5" state="hidden" r:id="rId3"/>
    <sheet name="B̳ases" sheetId="2" state="hidden" r:id="rId4"/>
    <sheet name="C̳álculos" sheetId="3" state="hidden" r:id="rId5"/>
    <sheet name="D̳ashboard" sheetId="4" r:id="rId6"/>
  </sheets>
  <definedNames>
    <definedName name="SegmentaçãodeDados_Subscription_Type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5" l="1"/>
</calcChain>
</file>

<file path=xl/sharedStrings.xml><?xml version="1.0" encoding="utf-8"?>
<sst xmlns="http://schemas.openxmlformats.org/spreadsheetml/2006/main" count="2600" uniqueCount="323">
  <si>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</si>
  <si>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</si>
  <si>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</si>
  <si>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</si>
  <si>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</si>
  <si>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</si>
  <si>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</si>
  <si>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</si>
  <si>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</si>
  <si>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</si>
  <si>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</si>
  <si>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</si>
  <si>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</si>
  <si>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</si>
  <si>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</si>
  <si>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</si>
  <si>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</si>
  <si>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</si>
  <si>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</si>
  <si>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</si>
  <si>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</si>
  <si>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</si>
  <si>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</si>
  <si>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</si>
  <si>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</si>
  <si>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</si>
  <si>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</si>
  <si>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</si>
  <si>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</si>
  <si>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</si>
  <si>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</si>
  <si>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</si>
  <si>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</si>
  <si>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</si>
  <si>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</si>
  <si>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</si>
  <si>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</si>
  <si>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</si>
  <si>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</si>
  <si>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</si>
  <si>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</si>
  <si>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</si>
  <si>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</si>
  <si>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</si>
  <si>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</si>
  <si>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</si>
  <si>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</si>
  <si>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</si>
  <si>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</si>
  <si>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</si>
  <si>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</si>
  <si>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</si>
  <si>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</si>
  <si>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</si>
  <si>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</si>
  <si>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</si>
  <si>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</si>
  <si>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</si>
  <si>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</si>
  <si>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</si>
  <si>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</si>
  <si>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</si>
  <si>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</si>
  <si>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</si>
  <si>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</si>
  <si>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</si>
  <si>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</si>
  <si>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</si>
  <si>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</si>
  <si>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</si>
  <si>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</si>
  <si>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</si>
  <si>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</si>
  <si>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</si>
  <si>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</si>
  <si>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</si>
  <si>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</si>
  <si>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</si>
  <si>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</si>
  <si>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</si>
  <si>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</si>
  <si>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</si>
  <si>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</si>
  <si>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</si>
  <si>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</si>
  <si>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</si>
  <si>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</si>
  <si>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</si>
  <si>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</si>
  <si>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</si>
  <si>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</si>
  <si>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</si>
  <si>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</si>
  <si>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</si>
  <si>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</si>
  <si>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</si>
  <si>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</si>
  <si>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</si>
  <si>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</si>
  <si>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</si>
  <si>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</si>
  <si>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</si>
  <si>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</si>
  <si>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</si>
  <si>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</si>
  <si>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</si>
  <si>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</si>
  <si>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</si>
  <si>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</si>
  <si>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</si>
  <si>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</si>
  <si>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</si>
  <si>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</si>
  <si>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</si>
  <si>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</si>
  <si>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</si>
  <si>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</si>
  <si>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</si>
  <si>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</si>
  <si>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</si>
  <si>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</si>
  <si>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</si>
  <si>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</si>
  <si>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</si>
  <si>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</si>
  <si>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</si>
  <si>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</si>
  <si>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</si>
  <si>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</si>
  <si>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</si>
  <si>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</si>
  <si>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</si>
  <si>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</si>
  <si>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</si>
  <si>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</si>
  <si>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</si>
  <si>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</si>
  <si>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</si>
  <si>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</si>
  <si>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</si>
  <si>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</si>
  <si>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</si>
  <si>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</si>
  <si>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</si>
  <si>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</si>
  <si>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</si>
  <si>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</si>
  <si>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</si>
  <si>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</si>
  <si>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</si>
  <si>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</si>
  <si>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</si>
  <si>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</si>
  <si>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</si>
  <si>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</si>
  <si>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</si>
  <si>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</si>
  <si>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</si>
  <si>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</si>
  <si>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</si>
  <si>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</si>
  <si>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</si>
  <si>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</si>
  <si>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</si>
  <si>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</si>
  <si>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</si>
  <si>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</si>
  <si>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</si>
  <si>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</si>
  <si>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</si>
  <si>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</si>
  <si>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</si>
  <si>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</si>
  <si>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</si>
  <si>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</si>
  <si>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</si>
  <si>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</si>
  <si>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</si>
  <si>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</si>
  <si>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</si>
  <si>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</si>
  <si>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</si>
  <si>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</si>
  <si>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</si>
  <si>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</si>
  <si>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</si>
  <si>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</si>
  <si>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</si>
  <si>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</si>
  <si>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</si>
  <si>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</si>
  <si>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</si>
  <si>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</si>
  <si>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</si>
  <si>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</si>
  <si>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</si>
  <si>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</si>
  <si>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</si>
  <si>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</si>
  <si>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</si>
  <si>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</si>
  <si>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</si>
  <si>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</si>
  <si>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</si>
  <si>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</si>
  <si>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</si>
  <si>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</si>
  <si>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</si>
  <si>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</si>
  <si>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</si>
  <si>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</si>
  <si>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</si>
  <si>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</si>
  <si>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</si>
  <si>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</si>
  <si>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</si>
  <si>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</si>
  <si>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</si>
  <si>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</si>
  <si>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</si>
  <si>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</si>
  <si>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</si>
  <si>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</si>
  <si>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</si>
  <si>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</si>
  <si>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</si>
  <si>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</si>
  <si>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</si>
  <si>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</si>
  <si>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</si>
  <si>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</si>
  <si>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</si>
  <si>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</si>
  <si>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</si>
  <si>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</si>
  <si>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</si>
  <si>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</si>
  <si>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</si>
  <si>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</si>
  <si>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</si>
  <si>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</si>
  <si>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</si>
  <si>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</si>
  <si>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</si>
  <si>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</si>
  <si>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</si>
  <si>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</si>
  <si>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</si>
  <si>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</si>
  <si>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</si>
  <si>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</si>
  <si>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</si>
  <si>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</si>
  <si>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</si>
  <si>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</si>
  <si>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</si>
  <si>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</si>
  <si>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</si>
  <si>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</si>
  <si>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</si>
  <si>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</si>
  <si>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</si>
  <si>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</si>
  <si>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</si>
  <si>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</si>
  <si>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</si>
  <si>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</si>
  <si>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</si>
  <si>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</si>
  <si>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</si>
  <si>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</si>
  <si>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</si>
  <si>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</si>
  <si>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</si>
  <si>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</si>
  <si>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</si>
  <si>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</si>
  <si>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</si>
  <si>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</si>
  <si>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</si>
  <si>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</si>
  <si>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</si>
  <si>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</si>
  <si>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</si>
  <si>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</si>
  <si>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</si>
  <si>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</si>
  <si>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</si>
  <si>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</si>
  <si>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</si>
  <si>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</si>
  <si>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</si>
  <si>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</si>
  <si>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</si>
  <si>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</si>
  <si>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</si>
  <si>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</si>
  <si>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</si>
  <si>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</si>
  <si>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</si>
  <si>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</si>
  <si>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</si>
  <si>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</si>
  <si>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</si>
  <si>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</si>
  <si>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</si>
  <si>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</si>
  <si>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</si>
  <si>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</si>
  <si>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</si>
  <si>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</si>
  <si>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</si>
  <si>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</si>
  <si>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</si>
  <si>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</si>
  <si>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</si>
  <si>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(Tudo)</t>
  </si>
  <si>
    <t>Contagem de EA Play Season Pass</t>
  </si>
  <si>
    <t>Contagem de EA Play Season Pass
Price</t>
  </si>
  <si>
    <t>Detalhes do Contagem de EA Play Season Pass
Price - Subscription Type: Quarterly, Name: Alan Teixeira (+)</t>
  </si>
  <si>
    <t>Soma de Minecraft Season Pass Price</t>
  </si>
  <si>
    <t xml:space="preserve">           XBOX GAMES PASS SUBSCRIPTIONS SALES</t>
  </si>
  <si>
    <t>Período de apuração 01/01/2024 até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</si>
</sst>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I UI"/>
    </font>
    <font>
      <b/>
      <sz val="16"/>
      <color rgb="FF2AE6B1"/>
      <name val="SEGOI UI"/>
    </font>
    <font>
      <b/>
      <sz val="11"/>
      <color theme="2" tint="-0.499984740745262"/>
      <name val="Aptos Narrow"/>
      <family val="2"/>
      <scheme val="minor"/>
    </font>
    <font>
      <b/>
      <sz val="20"/>
      <color rgb="FF2AE6B1"/>
      <name val="SEGOI UI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4ADE80"/>
        <bgColor indexed="64"/>
      </patternFill>
    </fill>
    <fill>
      <patternFill patternType="solid">
        <fgColor rgb="FFF3F4F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4" fontId="0" fillId="0" borderId="0" xfId="0" applyNumberFormat="1"/>
    <xf numFmtId="0" fontId="3" fillId="0" borderId="0" xfId="0" applyFont="1" applyAlignment="1">
      <alignment wrapText="1"/>
    </xf>
    <xf numFmtId="164" fontId="0" fillId="0" borderId="0" xfId="0" applyNumberFormat="1"/>
    <xf numFmtId="0" fontId="0" fillId="8" borderId="0" xfId="0" applyFill="1"/>
    <xf numFmtId="0" fontId="0" fillId="0" borderId="0" xfId="0" applyNumberFormat="1"/>
    <xf numFmtId="0" fontId="0" fillId="9" borderId="0" xfId="0" applyFill="1"/>
    <xf numFmtId="0" fontId="4" fillId="9" borderId="2" xfId="1" applyFont="1" applyFill="1" applyBorder="1"/>
    <xf numFmtId="0" fontId="0" fillId="9" borderId="2" xfId="0" applyFill="1" applyBorder="1"/>
    <xf numFmtId="0" fontId="5" fillId="9" borderId="0" xfId="1" applyFont="1" applyFill="1" applyBorder="1"/>
    <xf numFmtId="0" fontId="4" fillId="9" borderId="0" xfId="1" applyFont="1" applyFill="1" applyBorder="1"/>
    <xf numFmtId="0" fontId="6" fillId="9" borderId="0" xfId="0" applyFont="1" applyFill="1"/>
    <xf numFmtId="0" fontId="7" fillId="9" borderId="2" xfId="1" applyFont="1" applyFill="1" applyBorder="1"/>
  </cellXfs>
  <cellStyles count="3">
    <cellStyle name="Moeda" xfId="2" builtinId="4"/>
    <cellStyle name="Normal" xfId="0" builtinId="0"/>
    <cellStyle name="Título 1" xfId="1" builtinId="16"/>
  </cellStyles>
  <dxfs count="24"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_-[$R$-416]\ * #,##0.00_-;\-[$R$-416]\ * #,##0.00_-;_-[$R$-416]\ * &quot;-&quot;??_-;_-@_-"/>
    </dxf>
    <dxf>
      <numFmt numFmtId="19" formatCode="dd/mm/yyyy"/>
    </dxf>
    <dxf>
      <font>
        <b/>
        <color theme="1"/>
      </font>
      <fill>
        <patternFill>
          <bgColor rgb="FF2AE6B1"/>
        </patternFill>
      </fill>
      <border>
        <bottom style="thin">
          <color theme="0" tint="-0.3499862666707357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Other1 2" pivot="0" table="0" count="10" xr9:uid="{7AB79BFF-0C89-4CF8-BAD9-572C1852541E}">
      <tableStyleElement type="wholeTable" dxfId="23"/>
      <tableStyleElement type="headerRow" dxfId="22"/>
    </tableStyle>
  </tableStyles>
  <colors>
    <mruColors>
      <color rgb="FFF3F4F6"/>
      <color rgb="FF4ADE80"/>
      <color rgb="FF22C55E"/>
      <color rgb="FF2AE6B1"/>
      <color rgb="FF5BF6A8"/>
      <color rgb="FFE8E6E9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 tint="-0.249977111117893"/>
              <bgColor theme="0" tint="-0.24997711111789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xbox.xlsx]Planilha1!Tbl_anual_total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Planilha1!$B$4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9EE-4C27-AE7D-889DAFCB0AAC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9EE-4C27-AE7D-889DAFCB0A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Planilha1!$B$5:$B$7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EE-4C27-AE7D-889DAFCB0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0511488"/>
        <c:axId val="1520511008"/>
      </c:barChart>
      <c:catAx>
        <c:axId val="1520511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0511008"/>
        <c:crosses val="autoZero"/>
        <c:auto val="1"/>
        <c:lblAlgn val="ctr"/>
        <c:lblOffset val="100"/>
        <c:noMultiLvlLbl val="0"/>
      </c:catAx>
      <c:valAx>
        <c:axId val="15205110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520511488"/>
        <c:crosses val="autoZero"/>
        <c:crossBetween val="between"/>
      </c:valAx>
      <c:spPr>
        <a:noFill/>
        <a:ln>
          <a:solidFill>
            <a:schemeClr val="accent1">
              <a:alpha val="3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227358</xdr:colOff>
      <xdr:row>0</xdr:row>
      <xdr:rowOff>0</xdr:rowOff>
    </xdr:from>
    <xdr:to>
      <xdr:col>3</xdr:col>
      <xdr:colOff>67089</xdr:colOff>
      <xdr:row>2</xdr:row>
      <xdr:rowOff>233172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4ACDAE6-5F84-4031-B966-95E911E8C8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38" t="17825" r="72934" b="18164"/>
        <a:stretch>
          <a:fillRect/>
        </a:stretch>
      </xdr:blipFill>
      <xdr:spPr>
        <a:xfrm>
          <a:off x="1684683" y="0"/>
          <a:ext cx="687456" cy="766572"/>
        </a:xfrm>
        <a:prstGeom prst="rect">
          <a:avLst/>
        </a:prstGeom>
      </xdr:spPr>
    </xdr:pic>
    <xdr:clientData/>
  </xdr:twoCellAnchor>
  <xdr:twoCellAnchor>
    <xdr:from>
      <xdr:col>2</xdr:col>
      <xdr:colOff>31058</xdr:colOff>
      <xdr:row>17</xdr:row>
      <xdr:rowOff>132519</xdr:rowOff>
    </xdr:from>
    <xdr:to>
      <xdr:col>14</xdr:col>
      <xdr:colOff>173933</xdr:colOff>
      <xdr:row>32</xdr:row>
      <xdr:rowOff>57978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CF2A7D-10C7-46B3-978D-1E96FAB335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38100</xdr:colOff>
      <xdr:row>6</xdr:row>
      <xdr:rowOff>38100</xdr:rowOff>
    </xdr:from>
    <xdr:to>
      <xdr:col>0</xdr:col>
      <xdr:colOff>1421293</xdr:colOff>
      <xdr:row>17</xdr:row>
      <xdr:rowOff>39757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62561765-E689-4E21-9DA4-AFAFE2DE65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1409700"/>
              <a:ext cx="1383193" cy="20971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99391</xdr:colOff>
      <xdr:row>3</xdr:row>
      <xdr:rowOff>82825</xdr:rowOff>
    </xdr:from>
    <xdr:to>
      <xdr:col>9</xdr:col>
      <xdr:colOff>229077</xdr:colOff>
      <xdr:row>13</xdr:row>
      <xdr:rowOff>82827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C141B66A-29F1-1E2D-BD14-E36A7E83D3D6}"/>
            </a:ext>
          </a:extLst>
        </xdr:cNvPr>
        <xdr:cNvGrpSpPr/>
      </xdr:nvGrpSpPr>
      <xdr:grpSpPr>
        <a:xfrm>
          <a:off x="1556716" y="882925"/>
          <a:ext cx="4635011" cy="1905002"/>
          <a:chOff x="1557130" y="496955"/>
          <a:chExt cx="4660273" cy="1913284"/>
        </a:xfrm>
      </xdr:grpSpPr>
      <xdr:sp macro="" textlink="Planilha1!C16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0F4B3488-50D1-8BD8-1FE7-2ADD3D85E9E1}"/>
              </a:ext>
            </a:extLst>
          </xdr:cNvPr>
          <xdr:cNvSpPr/>
        </xdr:nvSpPr>
        <xdr:spPr>
          <a:xfrm>
            <a:off x="1832170" y="783108"/>
            <a:ext cx="4162724" cy="1560870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2FAF034-184E-4851-9A0C-F6F207974FB0}" type="TxLink">
              <a:rPr lang="en-US" sz="48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R$ 71,00 </a:t>
            </a:fld>
            <a:endParaRPr lang="en-US" sz="4800">
              <a:solidFill>
                <a:srgbClr val="22C55E"/>
              </a:solidFill>
            </a:endParaRPr>
          </a:p>
        </xdr:txBody>
      </xdr:sp>
      <xdr:pic>
        <xdr:nvPicPr>
          <xdr:cNvPr id="8" name="Imagem 7">
            <a:extLst>
              <a:ext uri="{FF2B5EF4-FFF2-40B4-BE49-F238E27FC236}">
                <a16:creationId xmlns:a16="http://schemas.microsoft.com/office/drawing/2014/main" id="{0343F15D-9814-4E29-8CF8-95B233353E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57130" y="761960"/>
            <a:ext cx="1253278" cy="1648279"/>
          </a:xfrm>
          <a:prstGeom prst="rect">
            <a:avLst/>
          </a:prstGeom>
        </xdr:spPr>
      </xdr:pic>
      <xdr:sp macro="" textlink="">
        <xdr:nvSpPr>
          <xdr:cNvPr id="9" name="Retângulo: Cantos Superiores Arredondados 8">
            <a:extLst>
              <a:ext uri="{FF2B5EF4-FFF2-40B4-BE49-F238E27FC236}">
                <a16:creationId xmlns:a16="http://schemas.microsoft.com/office/drawing/2014/main" id="{0D97A445-F11E-5B95-B314-B6C76C886D7D}"/>
              </a:ext>
            </a:extLst>
          </xdr:cNvPr>
          <xdr:cNvSpPr/>
        </xdr:nvSpPr>
        <xdr:spPr>
          <a:xfrm>
            <a:off x="1609662" y="496955"/>
            <a:ext cx="4607741" cy="697778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>
                <a:latin typeface="SegoI UI"/>
              </a:rPr>
              <a:t>TOTAL</a:t>
            </a:r>
            <a:r>
              <a:rPr lang="pt-BR" sz="1400" baseline="0">
                <a:latin typeface="SegoI UI"/>
              </a:rPr>
              <a:t> SUBSCRIPTION EA PLAY SEASON PASS</a:t>
            </a:r>
            <a:endParaRPr lang="pt-BR" sz="1400">
              <a:latin typeface="SegoI UI"/>
            </a:endParaRPr>
          </a:p>
        </xdr:txBody>
      </xdr:sp>
    </xdr:grpSp>
    <xdr:clientData/>
  </xdr:twoCellAnchor>
  <xdr:twoCellAnchor>
    <xdr:from>
      <xdr:col>12</xdr:col>
      <xdr:colOff>96106</xdr:colOff>
      <xdr:row>7</xdr:row>
      <xdr:rowOff>173935</xdr:rowOff>
    </xdr:from>
    <xdr:to>
      <xdr:col>17</xdr:col>
      <xdr:colOff>276611</xdr:colOff>
      <xdr:row>10</xdr:row>
      <xdr:rowOff>107676</xdr:rowOff>
    </xdr:to>
    <xdr:sp macro="" textlink="Planilha1!E23">
      <xdr:nvSpPr>
        <xdr:cNvPr id="13" name="Retângulo: Cantos Arredondados 12">
          <a:extLst>
            <a:ext uri="{FF2B5EF4-FFF2-40B4-BE49-F238E27FC236}">
              <a16:creationId xmlns:a16="http://schemas.microsoft.com/office/drawing/2014/main" id="{2244E0E6-9CFE-4E80-4664-53313A928E93}"/>
            </a:ext>
          </a:extLst>
        </xdr:cNvPr>
        <xdr:cNvSpPr/>
      </xdr:nvSpPr>
      <xdr:spPr>
        <a:xfrm>
          <a:off x="7749236" y="1391478"/>
          <a:ext cx="3245071" cy="505241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D0F2CE7-ED43-471D-9009-9A2B30D85119}" type="TxLink">
            <a:rPr lang="en-US" sz="4800" b="0" i="0" u="none" strike="noStrike">
              <a:solidFill>
                <a:srgbClr val="22C55E"/>
              </a:solidFill>
              <a:latin typeface="SegoI UI"/>
            </a:rPr>
            <a:pPr algn="ctr"/>
            <a:t> R$ 940,00 </a:t>
          </a:fld>
          <a:endParaRPr lang="en-US" sz="19900">
            <a:solidFill>
              <a:srgbClr val="22C55E"/>
            </a:solidFill>
            <a:latin typeface="SegoI UI"/>
          </a:endParaRPr>
        </a:p>
      </xdr:txBody>
    </xdr:sp>
    <xdr:clientData/>
  </xdr:twoCellAnchor>
  <xdr:twoCellAnchor>
    <xdr:from>
      <xdr:col>10</xdr:col>
      <xdr:colOff>0</xdr:colOff>
      <xdr:row>3</xdr:row>
      <xdr:rowOff>115956</xdr:rowOff>
    </xdr:from>
    <xdr:to>
      <xdr:col>17</xdr:col>
      <xdr:colOff>491284</xdr:colOff>
      <xdr:row>7</xdr:row>
      <xdr:rowOff>43452</xdr:rowOff>
    </xdr:to>
    <xdr:sp macro="" textlink="">
      <xdr:nvSpPr>
        <xdr:cNvPr id="15" name="Retângulo: Cantos Superiores Arredondados 14">
          <a:extLst>
            <a:ext uri="{FF2B5EF4-FFF2-40B4-BE49-F238E27FC236}">
              <a16:creationId xmlns:a16="http://schemas.microsoft.com/office/drawing/2014/main" id="{5CC28A90-162A-116C-F5C3-809120B54ABD}"/>
            </a:ext>
          </a:extLst>
        </xdr:cNvPr>
        <xdr:cNvSpPr/>
      </xdr:nvSpPr>
      <xdr:spPr>
        <a:xfrm>
          <a:off x="6601239" y="563217"/>
          <a:ext cx="4607741" cy="697778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I UI"/>
            </a:rPr>
            <a:t>TOTAL</a:t>
          </a:r>
          <a:r>
            <a:rPr lang="pt-BR" sz="1200" baseline="0">
              <a:latin typeface="SegoI UI"/>
            </a:rPr>
            <a:t> SUBSCRIPTION MINECRAFT PLAY SEASON PASS</a:t>
          </a:r>
          <a:endParaRPr lang="pt-BR" sz="1200">
            <a:latin typeface="SegoI UI"/>
          </a:endParaRPr>
        </a:p>
      </xdr:txBody>
    </xdr:sp>
    <xdr:clientData/>
  </xdr:twoCellAnchor>
  <xdr:twoCellAnchor editAs="absolute">
    <xdr:from>
      <xdr:col>10</xdr:col>
      <xdr:colOff>153228</xdr:colOff>
      <xdr:row>7</xdr:row>
      <xdr:rowOff>11183</xdr:rowOff>
    </xdr:from>
    <xdr:to>
      <xdr:col>12</xdr:col>
      <xdr:colOff>269185</xdr:colOff>
      <xdr:row>9</xdr:row>
      <xdr:rowOff>175593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9810835B-6B27-476B-84A5-72276BD24496}"/>
            </a:ext>
          </a:extLst>
        </xdr:cNvPr>
        <xdr:cNvGrpSpPr/>
      </xdr:nvGrpSpPr>
      <xdr:grpSpPr>
        <a:xfrm>
          <a:off x="6725478" y="1573283"/>
          <a:ext cx="1163707" cy="545410"/>
          <a:chOff x="3495675" y="5400674"/>
          <a:chExt cx="1549476" cy="752476"/>
        </a:xfrm>
      </xdr:grpSpPr>
      <xdr:pic>
        <xdr:nvPicPr>
          <xdr:cNvPr id="20" name="Imagem 19">
            <a:extLst>
              <a:ext uri="{FF2B5EF4-FFF2-40B4-BE49-F238E27FC236}">
                <a16:creationId xmlns:a16="http://schemas.microsoft.com/office/drawing/2014/main" id="{50F2361D-C0EB-CB7F-5889-8AFE485903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1" name="Gráfico 20">
            <a:extLst>
              <a:ext uri="{FF2B5EF4-FFF2-40B4-BE49-F238E27FC236}">
                <a16:creationId xmlns:a16="http://schemas.microsoft.com/office/drawing/2014/main" id="{F632B62D-6CC9-E162-7E89-662ACB4C89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0</xdr:colOff>
      <xdr:row>14</xdr:row>
      <xdr:rowOff>190500</xdr:rowOff>
    </xdr:from>
    <xdr:to>
      <xdr:col>9</xdr:col>
      <xdr:colOff>317350</xdr:colOff>
      <xdr:row>18</xdr:row>
      <xdr:rowOff>126278</xdr:rowOff>
    </xdr:to>
    <xdr:sp macro="" textlink="">
      <xdr:nvSpPr>
        <xdr:cNvPr id="22" name="Retângulo: Cantos Superiores Arredondados 21">
          <a:extLst>
            <a:ext uri="{FF2B5EF4-FFF2-40B4-BE49-F238E27FC236}">
              <a16:creationId xmlns:a16="http://schemas.microsoft.com/office/drawing/2014/main" id="{1881DCC8-EB41-4082-AC19-890CD42DDBF9}"/>
            </a:ext>
          </a:extLst>
        </xdr:cNvPr>
        <xdr:cNvSpPr/>
      </xdr:nvSpPr>
      <xdr:spPr>
        <a:xfrm>
          <a:off x="1697935" y="2741543"/>
          <a:ext cx="4607741" cy="697778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I UI"/>
            </a:rPr>
            <a:t>TOTAL</a:t>
          </a:r>
          <a:r>
            <a:rPr lang="pt-BR" sz="1200" baseline="0">
              <a:latin typeface="SegoI UI"/>
            </a:rPr>
            <a:t> SUBSCRIPTION XBOX  PASS</a:t>
          </a:r>
          <a:endParaRPr lang="pt-BR" sz="1200">
            <a:latin typeface="SegoI UI"/>
          </a:endParaRPr>
        </a:p>
      </xdr:txBody>
    </xdr:sp>
    <xdr:clientData/>
  </xdr:twoCellAnchor>
  <xdr:twoCellAnchor editAs="absolute">
    <xdr:from>
      <xdr:col>0</xdr:col>
      <xdr:colOff>276225</xdr:colOff>
      <xdr:row>0</xdr:row>
      <xdr:rowOff>180975</xdr:rowOff>
    </xdr:from>
    <xdr:to>
      <xdr:col>0</xdr:col>
      <xdr:colOff>971550</xdr:colOff>
      <xdr:row>3</xdr:row>
      <xdr:rowOff>76200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61346738-19D1-4C52-828E-255478AAA7DE}"/>
            </a:ext>
          </a:extLst>
        </xdr:cNvPr>
        <xdr:cNvSpPr/>
      </xdr:nvSpPr>
      <xdr:spPr>
        <a:xfrm>
          <a:off x="276225" y="180975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161925</xdr:colOff>
      <xdr:row>4</xdr:row>
      <xdr:rowOff>133350</xdr:rowOff>
    </xdr:from>
    <xdr:to>
      <xdr:col>0</xdr:col>
      <xdr:colOff>1200150</xdr:colOff>
      <xdr:row>5</xdr:row>
      <xdr:rowOff>152400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FA076F0D-B642-4282-BFCA-ED0E4691228B}"/>
            </a:ext>
          </a:extLst>
        </xdr:cNvPr>
        <xdr:cNvSpPr/>
      </xdr:nvSpPr>
      <xdr:spPr>
        <a:xfrm>
          <a:off x="161925" y="1123950"/>
          <a:ext cx="1038225" cy="209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Bem vinda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ago Sperate" refreshedDate="46035.932979166668" createdVersion="8" refreshedVersion="8" minRefreshableVersion="3" recordCount="295" xr:uid="{4A66C896-E4DD-4DED-B891-BC9112BF020B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3009560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5BB841-A2E2-4ABB-9F37-889ADCD81718}" name="tbl.EA_season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12:C16" firstHeaderRow="0" firstDataRow="1" firstDataCol="1" rowPageCount="2" colPageCount="1"/>
  <pivotFields count="13">
    <pivotField showAll="0"/>
    <pivotField axis="axisPage" showAll="0">
      <items count="281">
        <item sd="0" x="87"/>
        <item sd="0" x="61"/>
        <item sd="0" x="206"/>
        <item sd="0" x="275"/>
        <item sd="0" x="112"/>
        <item sd="0" x="228"/>
        <item sd="0" x="35"/>
        <item sd="0" x="253"/>
        <item sd="0" x="136"/>
        <item sd="0" x="3"/>
        <item sd="0" x="161"/>
        <item sd="0" x="185"/>
        <item sd="0" x="7"/>
        <item sd="0" x="88"/>
        <item sd="0" x="16"/>
        <item sd="0" x="186"/>
        <item sd="0" x="162"/>
        <item sd="0" x="276"/>
        <item sd="0" x="36"/>
        <item sd="0" x="254"/>
        <item sd="0" x="207"/>
        <item sd="0" x="137"/>
        <item sd="0" x="62"/>
        <item sd="0" x="9"/>
        <item sd="0" x="113"/>
        <item sd="0" x="229"/>
        <item sd="0" x="163"/>
        <item sd="0" x="15"/>
        <item sd="0" x="6"/>
        <item sd="0" x="63"/>
        <item sd="0" x="37"/>
        <item sd="0" x="230"/>
        <item sd="0" x="255"/>
        <item sd="0" x="277"/>
        <item sd="0" x="138"/>
        <item sd="0" x="89"/>
        <item sd="0" x="114"/>
        <item sd="0" x="17"/>
        <item sd="0" x="187"/>
        <item sd="0" x="90"/>
        <item sd="0" x="139"/>
        <item sd="0" x="18"/>
        <item sd="0" x="38"/>
        <item sd="0" x="64"/>
        <item sd="0" x="231"/>
        <item sd="0" x="208"/>
        <item sd="0" x="256"/>
        <item sd="0" x="278"/>
        <item sd="0" x="13"/>
        <item sd="0" x="115"/>
        <item sd="0" x="164"/>
        <item sd="0" x="91"/>
        <item sd="0" x="188"/>
        <item sd="0" x="19"/>
        <item sd="0" x="209"/>
        <item sd="0" x="116"/>
        <item sd="0" x="257"/>
        <item sd="0" x="279"/>
        <item sd="0" x="140"/>
        <item sd="0" x="65"/>
        <item sd="0" x="39"/>
        <item sd="0" x="92"/>
        <item sd="0" x="210"/>
        <item sd="0" x="141"/>
        <item sd="0" x="232"/>
        <item sd="0" x="258"/>
        <item sd="0" x="40"/>
        <item sd="0" x="66"/>
        <item sd="0" x="117"/>
        <item sd="0" x="5"/>
        <item sd="0" x="165"/>
        <item sd="0" x="14"/>
        <item sd="0" x="67"/>
        <item sd="0" x="211"/>
        <item sd="0" x="189"/>
        <item sd="0" x="259"/>
        <item sd="0" x="20"/>
        <item sd="0" x="93"/>
        <item sd="0" x="233"/>
        <item sd="0" x="41"/>
        <item sd="0" x="142"/>
        <item sd="0" x="166"/>
        <item sd="0" x="143"/>
        <item sd="0" x="94"/>
        <item sd="0" x="212"/>
        <item sd="0" x="167"/>
        <item sd="0" x="68"/>
        <item sd="0" x="42"/>
        <item sd="0" x="234"/>
        <item sd="0" x="118"/>
        <item sd="0" x="21"/>
        <item sd="0" x="260"/>
        <item sd="0" x="144"/>
        <item sd="0" x="190"/>
        <item sd="0" x="213"/>
        <item sd="0" x="168"/>
        <item sd="0" x="43"/>
        <item sd="0" x="235"/>
        <item sd="0" x="119"/>
        <item sd="0" x="95"/>
        <item sd="0" x="22"/>
        <item sd="0" x="69"/>
        <item sd="0" x="145"/>
        <item sd="0" x="191"/>
        <item sd="0" x="169"/>
        <item sd="0" x="120"/>
        <item sd="0" x="261"/>
        <item sd="0" x="96"/>
        <item sd="0" x="236"/>
        <item sd="0" x="0"/>
        <item sd="0" x="23"/>
        <item sd="0" x="44"/>
        <item sd="0" x="70"/>
        <item sd="0" x="71"/>
        <item sd="0" x="97"/>
        <item sd="0" x="170"/>
        <item sd="0" x="262"/>
        <item sd="0" x="237"/>
        <item sd="0" x="146"/>
        <item sd="0" x="45"/>
        <item sd="0" x="24"/>
        <item sd="0" x="121"/>
        <item sd="0" x="12"/>
        <item sd="0" x="2"/>
        <item sd="0" x="192"/>
        <item sd="0" x="72"/>
        <item sd="0" x="263"/>
        <item sd="0" x="171"/>
        <item sd="0" x="238"/>
        <item sd="0" x="46"/>
        <item sd="0" x="98"/>
        <item sd="0" x="214"/>
        <item sd="0" x="147"/>
        <item sd="0" x="193"/>
        <item sd="0" x="264"/>
        <item sd="0" x="99"/>
        <item sd="0" x="172"/>
        <item sd="0" x="47"/>
        <item sd="0" x="122"/>
        <item sd="0" x="11"/>
        <item sd="0" x="239"/>
        <item sd="0" x="148"/>
        <item sd="0" x="215"/>
        <item sd="0" x="1"/>
        <item sd="0" x="25"/>
        <item sd="0" x="73"/>
        <item sd="0" x="123"/>
        <item sd="0" x="216"/>
        <item sd="0" x="265"/>
        <item sd="0" x="149"/>
        <item sd="0" x="240"/>
        <item sd="0" x="194"/>
        <item sd="0" x="26"/>
        <item sd="0" x="48"/>
        <item sd="0" x="173"/>
        <item sd="0" x="100"/>
        <item sd="0" x="74"/>
        <item sd="0" x="195"/>
        <item sd="0" x="174"/>
        <item sd="0" x="124"/>
        <item sd="0" x="241"/>
        <item sd="0" x="266"/>
        <item sd="0" x="49"/>
        <item sd="0" x="101"/>
        <item sd="0" x="150"/>
        <item sd="0" x="217"/>
        <item sd="0" x="75"/>
        <item sd="0" x="27"/>
        <item sd="0" x="151"/>
        <item sd="0" x="102"/>
        <item sd="0" x="218"/>
        <item sd="0" x="242"/>
        <item sd="0" x="267"/>
        <item sd="0" x="125"/>
        <item sd="0" x="50"/>
        <item sd="0" x="28"/>
        <item sd="0" x="76"/>
        <item sd="0" x="196"/>
        <item sd="0" x="175"/>
        <item sd="0" x="4"/>
        <item sd="0" x="126"/>
        <item sd="0" x="219"/>
        <item sd="0" x="268"/>
        <item sd="0" x="77"/>
        <item sd="0" x="51"/>
        <item sd="0" x="152"/>
        <item sd="0" x="243"/>
        <item sd="0" x="127"/>
        <item sd="0" x="103"/>
        <item sd="0" x="244"/>
        <item sd="0" x="29"/>
        <item sd="0" x="197"/>
        <item sd="0" x="176"/>
        <item sd="0" x="78"/>
        <item sd="0" x="269"/>
        <item sd="0" x="52"/>
        <item sd="0" x="153"/>
        <item sd="0" x="10"/>
        <item sd="0" x="79"/>
        <item sd="0" x="104"/>
        <item sd="0" x="30"/>
        <item sd="0" x="177"/>
        <item sd="0" x="220"/>
        <item sd="0" x="245"/>
        <item sd="0" x="270"/>
        <item sd="0" x="128"/>
        <item sd="0" x="8"/>
        <item sd="0" x="154"/>
        <item sd="0" x="198"/>
        <item sd="0" x="53"/>
        <item sd="0" x="31"/>
        <item sd="0" x="271"/>
        <item sd="0" x="246"/>
        <item sd="0" x="105"/>
        <item sd="0" x="178"/>
        <item sd="0" x="221"/>
        <item sd="0" x="80"/>
        <item sd="0" x="129"/>
        <item sd="0" x="155"/>
        <item sd="0" x="54"/>
        <item sd="0" x="199"/>
        <item sd="0" x="247"/>
        <item sd="0" x="55"/>
        <item sd="0" x="106"/>
        <item sd="0" x="179"/>
        <item sd="0" x="81"/>
        <item sd="0" x="156"/>
        <item sd="0" x="222"/>
        <item sd="0" x="200"/>
        <item sd="0" x="130"/>
        <item sd="0" x="248"/>
        <item sd="0" x="56"/>
        <item sd="0" x="223"/>
        <item sd="0" x="157"/>
        <item sd="0" x="131"/>
        <item sd="0" x="180"/>
        <item sd="0" x="201"/>
        <item sd="0" x="82"/>
        <item sd="0" x="107"/>
        <item sd="0" x="32"/>
        <item sd="0" x="158"/>
        <item sd="0" x="132"/>
        <item sd="0" x="202"/>
        <item sd="0" x="83"/>
        <item sd="0" x="181"/>
        <item sd="0" x="224"/>
        <item sd="0" x="249"/>
        <item sd="0" x="57"/>
        <item sd="0" x="108"/>
        <item sd="0" x="203"/>
        <item sd="0" x="133"/>
        <item sd="0" x="225"/>
        <item sd="0" x="109"/>
        <item sd="0" x="272"/>
        <item sd="0" x="182"/>
        <item sd="0" x="84"/>
        <item sd="0" x="250"/>
        <item sd="0" x="58"/>
        <item sd="0" x="110"/>
        <item sd="0" x="59"/>
        <item sd="0" x="183"/>
        <item sd="0" x="226"/>
        <item sd="0" x="85"/>
        <item sd="0" x="273"/>
        <item sd="0" x="159"/>
        <item sd="0" x="33"/>
        <item sd="0" x="204"/>
        <item sd="0" x="251"/>
        <item sd="0" x="134"/>
        <item sd="0" x="205"/>
        <item sd="0" x="60"/>
        <item sd="0" x="184"/>
        <item sd="0" x="160"/>
        <item sd="0" x="274"/>
        <item sd="0" x="227"/>
        <item sd="0" x="135"/>
        <item sd="0" x="86"/>
        <item sd="0" x="34"/>
        <item sd="0" x="252"/>
        <item sd="0" x="111"/>
        <item t="default" sd="0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dataField="1"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2">
    <pageField fld="6" hier="-1"/>
    <pageField fld="1" hier="-1"/>
  </pageFields>
  <dataFields count="2">
    <dataField name="Contagem de EA Play Season Pass" fld="7" subtotal="count" baseField="0" baseItem="0"/>
    <dataField name="Contagem de EA Play Season Pass_x000a_Price" fld="8" subtotal="count" baseField="0" baseItem="0"/>
  </dataFields>
  <formats count="1">
    <format dxfId="20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9B6F9-1402-4A03-9447-86C2A75BF89A}" name="Tbl_a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4:B7" firstHeaderRow="1" firstDataRow="1" firstDataCol="1" rowPageCount="2" colPageCount="1"/>
  <pivotFields count="13">
    <pivotField showAll="0"/>
    <pivotField axis="axisPage" showAll="0">
      <items count="281">
        <item sd="0" x="87"/>
        <item sd="0" x="61"/>
        <item sd="0" x="206"/>
        <item sd="0" x="275"/>
        <item sd="0" x="112"/>
        <item sd="0" x="228"/>
        <item sd="0" x="35"/>
        <item sd="0" x="253"/>
        <item sd="0" x="136"/>
        <item sd="0" x="3"/>
        <item sd="0" x="161"/>
        <item sd="0" x="185"/>
        <item sd="0" x="7"/>
        <item sd="0" x="88"/>
        <item sd="0" x="16"/>
        <item sd="0" x="186"/>
        <item sd="0" x="162"/>
        <item sd="0" x="276"/>
        <item sd="0" x="36"/>
        <item sd="0" x="254"/>
        <item sd="0" x="207"/>
        <item sd="0" x="137"/>
        <item sd="0" x="62"/>
        <item sd="0" x="9"/>
        <item sd="0" x="113"/>
        <item sd="0" x="229"/>
        <item sd="0" x="163"/>
        <item sd="0" x="15"/>
        <item sd="0" x="6"/>
        <item sd="0" x="63"/>
        <item sd="0" x="37"/>
        <item sd="0" x="230"/>
        <item sd="0" x="255"/>
        <item sd="0" x="277"/>
        <item sd="0" x="138"/>
        <item sd="0" x="89"/>
        <item sd="0" x="114"/>
        <item sd="0" x="17"/>
        <item sd="0" x="187"/>
        <item sd="0" x="90"/>
        <item sd="0" x="139"/>
        <item sd="0" x="18"/>
        <item sd="0" x="38"/>
        <item sd="0" x="64"/>
        <item sd="0" x="231"/>
        <item sd="0" x="208"/>
        <item sd="0" x="256"/>
        <item sd="0" x="278"/>
        <item sd="0" x="13"/>
        <item sd="0" x="115"/>
        <item sd="0" x="164"/>
        <item sd="0" x="91"/>
        <item sd="0" x="188"/>
        <item sd="0" x="19"/>
        <item sd="0" x="209"/>
        <item sd="0" x="116"/>
        <item sd="0" x="257"/>
        <item sd="0" x="279"/>
        <item sd="0" x="140"/>
        <item sd="0" x="65"/>
        <item sd="0" x="39"/>
        <item sd="0" x="92"/>
        <item sd="0" x="210"/>
        <item sd="0" x="141"/>
        <item sd="0" x="232"/>
        <item sd="0" x="258"/>
        <item sd="0" x="40"/>
        <item sd="0" x="66"/>
        <item sd="0" x="117"/>
        <item sd="0" x="5"/>
        <item sd="0" x="165"/>
        <item sd="0" x="14"/>
        <item sd="0" x="67"/>
        <item sd="0" x="211"/>
        <item sd="0" x="189"/>
        <item sd="0" x="259"/>
        <item sd="0" x="20"/>
        <item sd="0" x="93"/>
        <item sd="0" x="233"/>
        <item sd="0" x="41"/>
        <item sd="0" x="142"/>
        <item sd="0" x="166"/>
        <item sd="0" x="143"/>
        <item sd="0" x="94"/>
        <item sd="0" x="212"/>
        <item sd="0" x="167"/>
        <item sd="0" x="68"/>
        <item sd="0" x="42"/>
        <item sd="0" x="234"/>
        <item sd="0" x="118"/>
        <item sd="0" x="21"/>
        <item sd="0" x="260"/>
        <item sd="0" x="144"/>
        <item sd="0" x="190"/>
        <item sd="0" x="213"/>
        <item sd="0" x="168"/>
        <item sd="0" x="43"/>
        <item sd="0" x="235"/>
        <item sd="0" x="119"/>
        <item sd="0" x="95"/>
        <item sd="0" x="22"/>
        <item sd="0" x="69"/>
        <item sd="0" x="145"/>
        <item sd="0" x="191"/>
        <item sd="0" x="169"/>
        <item sd="0" x="120"/>
        <item sd="0" x="261"/>
        <item sd="0" x="96"/>
        <item sd="0" x="236"/>
        <item sd="0" x="0"/>
        <item sd="0" x="23"/>
        <item sd="0" x="44"/>
        <item sd="0" x="70"/>
        <item sd="0" x="71"/>
        <item sd="0" x="97"/>
        <item sd="0" x="170"/>
        <item sd="0" x="262"/>
        <item sd="0" x="237"/>
        <item sd="0" x="146"/>
        <item sd="0" x="45"/>
        <item sd="0" x="24"/>
        <item sd="0" x="121"/>
        <item sd="0" x="12"/>
        <item sd="0" x="2"/>
        <item sd="0" x="192"/>
        <item sd="0" x="72"/>
        <item sd="0" x="263"/>
        <item sd="0" x="171"/>
        <item sd="0" x="238"/>
        <item sd="0" x="46"/>
        <item sd="0" x="98"/>
        <item sd="0" x="214"/>
        <item sd="0" x="147"/>
        <item sd="0" x="193"/>
        <item sd="0" x="264"/>
        <item sd="0" x="99"/>
        <item sd="0" x="172"/>
        <item sd="0" x="47"/>
        <item sd="0" x="122"/>
        <item sd="0" x="11"/>
        <item sd="0" x="239"/>
        <item sd="0" x="148"/>
        <item sd="0" x="215"/>
        <item sd="0" x="1"/>
        <item sd="0" x="25"/>
        <item sd="0" x="73"/>
        <item sd="0" x="123"/>
        <item sd="0" x="216"/>
        <item sd="0" x="265"/>
        <item sd="0" x="149"/>
        <item sd="0" x="240"/>
        <item sd="0" x="194"/>
        <item sd="0" x="26"/>
        <item sd="0" x="48"/>
        <item sd="0" x="173"/>
        <item sd="0" x="100"/>
        <item sd="0" x="74"/>
        <item sd="0" x="195"/>
        <item sd="0" x="174"/>
        <item sd="0" x="124"/>
        <item sd="0" x="241"/>
        <item sd="0" x="266"/>
        <item sd="0" x="49"/>
        <item sd="0" x="101"/>
        <item sd="0" x="150"/>
        <item sd="0" x="217"/>
        <item sd="0" x="75"/>
        <item sd="0" x="27"/>
        <item sd="0" x="151"/>
        <item sd="0" x="102"/>
        <item sd="0" x="218"/>
        <item sd="0" x="242"/>
        <item sd="0" x="267"/>
        <item sd="0" x="125"/>
        <item sd="0" x="50"/>
        <item sd="0" x="28"/>
        <item sd="0" x="76"/>
        <item sd="0" x="196"/>
        <item sd="0" x="175"/>
        <item sd="0" x="4"/>
        <item sd="0" x="126"/>
        <item sd="0" x="219"/>
        <item sd="0" x="268"/>
        <item sd="0" x="77"/>
        <item sd="0" x="51"/>
        <item sd="0" x="152"/>
        <item sd="0" x="243"/>
        <item sd="0" x="127"/>
        <item sd="0" x="103"/>
        <item sd="0" x="244"/>
        <item sd="0" x="29"/>
        <item sd="0" x="197"/>
        <item sd="0" x="176"/>
        <item sd="0" x="78"/>
        <item sd="0" x="269"/>
        <item sd="0" x="52"/>
        <item sd="0" x="153"/>
        <item sd="0" x="10"/>
        <item sd="0" x="79"/>
        <item sd="0" x="104"/>
        <item sd="0" x="30"/>
        <item sd="0" x="177"/>
        <item sd="0" x="220"/>
        <item sd="0" x="245"/>
        <item sd="0" x="270"/>
        <item sd="0" x="128"/>
        <item sd="0" x="8"/>
        <item sd="0" x="154"/>
        <item sd="0" x="198"/>
        <item sd="0" x="53"/>
        <item sd="0" x="31"/>
        <item sd="0" x="271"/>
        <item sd="0" x="246"/>
        <item sd="0" x="105"/>
        <item sd="0" x="178"/>
        <item sd="0" x="221"/>
        <item sd="0" x="80"/>
        <item sd="0" x="129"/>
        <item sd="0" x="155"/>
        <item sd="0" x="54"/>
        <item sd="0" x="199"/>
        <item sd="0" x="247"/>
        <item sd="0" x="55"/>
        <item sd="0" x="106"/>
        <item sd="0" x="179"/>
        <item sd="0" x="81"/>
        <item sd="0" x="156"/>
        <item sd="0" x="222"/>
        <item sd="0" x="200"/>
        <item sd="0" x="130"/>
        <item sd="0" x="248"/>
        <item sd="0" x="56"/>
        <item sd="0" x="223"/>
        <item sd="0" x="157"/>
        <item sd="0" x="131"/>
        <item sd="0" x="180"/>
        <item sd="0" x="201"/>
        <item sd="0" x="82"/>
        <item sd="0" x="107"/>
        <item sd="0" x="32"/>
        <item sd="0" x="158"/>
        <item sd="0" x="132"/>
        <item sd="0" x="202"/>
        <item sd="0" x="83"/>
        <item sd="0" x="181"/>
        <item sd="0" x="224"/>
        <item sd="0" x="249"/>
        <item sd="0" x="57"/>
        <item sd="0" x="108"/>
        <item sd="0" x="203"/>
        <item sd="0" x="133"/>
        <item sd="0" x="225"/>
        <item sd="0" x="109"/>
        <item sd="0" x="272"/>
        <item sd="0" x="182"/>
        <item sd="0" x="84"/>
        <item sd="0" x="250"/>
        <item sd="0" x="58"/>
        <item sd="0" x="110"/>
        <item sd="0" x="59"/>
        <item sd="0" x="183"/>
        <item sd="0" x="226"/>
        <item sd="0" x="85"/>
        <item sd="0" x="273"/>
        <item sd="0" x="159"/>
        <item sd="0" x="33"/>
        <item sd="0" x="204"/>
        <item sd="0" x="251"/>
        <item sd="0" x="134"/>
        <item sd="0" x="205"/>
        <item sd="0" x="60"/>
        <item sd="0" x="184"/>
        <item sd="0" x="160"/>
        <item sd="0" x="274"/>
        <item sd="0" x="227"/>
        <item sd="0" x="135"/>
        <item sd="0" x="86"/>
        <item sd="0" x="34"/>
        <item sd="0" x="252"/>
        <item sd="0" x="111"/>
        <item t="default" sd="0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2">
    <pageField fld="6" hier="-1"/>
    <pageField fld="1" hier="-1"/>
  </pageFields>
  <dataFields count="1">
    <dataField name="Soma de Total Value" fld="12" baseField="0" baseItem="0" numFmtId="44"/>
  </dataFields>
  <chartFormats count="3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3B8981-30FF-42CA-A868-2087C203C7EF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21:B24" firstHeaderRow="1" firstDataRow="1" firstDataCol="1" rowPageCount="2" colPageCount="1"/>
  <pivotFields count="13">
    <pivotField showAll="0"/>
    <pivotField axis="axisPage" showAll="0">
      <items count="281">
        <item sd="0" x="87"/>
        <item sd="0" x="61"/>
        <item sd="0" x="206"/>
        <item sd="0" x="275"/>
        <item sd="0" x="112"/>
        <item sd="0" x="228"/>
        <item sd="0" x="35"/>
        <item sd="0" x="253"/>
        <item sd="0" x="136"/>
        <item sd="0" x="3"/>
        <item sd="0" x="161"/>
        <item sd="0" x="185"/>
        <item sd="0" x="7"/>
        <item sd="0" x="88"/>
        <item sd="0" x="16"/>
        <item sd="0" x="186"/>
        <item sd="0" x="162"/>
        <item sd="0" x="276"/>
        <item sd="0" x="36"/>
        <item sd="0" x="254"/>
        <item sd="0" x="207"/>
        <item sd="0" x="137"/>
        <item sd="0" x="62"/>
        <item sd="0" x="9"/>
        <item sd="0" x="113"/>
        <item sd="0" x="229"/>
        <item sd="0" x="163"/>
        <item sd="0" x="15"/>
        <item sd="0" x="6"/>
        <item sd="0" x="63"/>
        <item sd="0" x="37"/>
        <item sd="0" x="230"/>
        <item sd="0" x="255"/>
        <item sd="0" x="277"/>
        <item sd="0" x="138"/>
        <item sd="0" x="89"/>
        <item sd="0" x="114"/>
        <item sd="0" x="17"/>
        <item sd="0" x="187"/>
        <item sd="0" x="90"/>
        <item sd="0" x="139"/>
        <item sd="0" x="18"/>
        <item sd="0" x="38"/>
        <item sd="0" x="64"/>
        <item sd="0" x="231"/>
        <item sd="0" x="208"/>
        <item sd="0" x="256"/>
        <item sd="0" x="278"/>
        <item sd="0" x="13"/>
        <item sd="0" x="115"/>
        <item sd="0" x="164"/>
        <item sd="0" x="91"/>
        <item sd="0" x="188"/>
        <item sd="0" x="19"/>
        <item sd="0" x="209"/>
        <item sd="0" x="116"/>
        <item sd="0" x="257"/>
        <item sd="0" x="279"/>
        <item sd="0" x="140"/>
        <item sd="0" x="65"/>
        <item sd="0" x="39"/>
        <item sd="0" x="92"/>
        <item sd="0" x="210"/>
        <item sd="0" x="141"/>
        <item sd="0" x="232"/>
        <item sd="0" x="258"/>
        <item sd="0" x="40"/>
        <item sd="0" x="66"/>
        <item sd="0" x="117"/>
        <item sd="0" x="5"/>
        <item sd="0" x="165"/>
        <item sd="0" x="14"/>
        <item sd="0" x="67"/>
        <item sd="0" x="211"/>
        <item sd="0" x="189"/>
        <item sd="0" x="259"/>
        <item sd="0" x="20"/>
        <item sd="0" x="93"/>
        <item sd="0" x="233"/>
        <item sd="0" x="41"/>
        <item sd="0" x="142"/>
        <item sd="0" x="166"/>
        <item sd="0" x="143"/>
        <item sd="0" x="94"/>
        <item sd="0" x="212"/>
        <item sd="0" x="167"/>
        <item sd="0" x="68"/>
        <item sd="0" x="42"/>
        <item sd="0" x="234"/>
        <item sd="0" x="118"/>
        <item sd="0" x="21"/>
        <item sd="0" x="260"/>
        <item sd="0" x="144"/>
        <item sd="0" x="190"/>
        <item sd="0" x="213"/>
        <item sd="0" x="168"/>
        <item sd="0" x="43"/>
        <item sd="0" x="235"/>
        <item sd="0" x="119"/>
        <item sd="0" x="95"/>
        <item sd="0" x="22"/>
        <item sd="0" x="69"/>
        <item sd="0" x="145"/>
        <item sd="0" x="191"/>
        <item sd="0" x="169"/>
        <item sd="0" x="120"/>
        <item sd="0" x="261"/>
        <item sd="0" x="96"/>
        <item sd="0" x="236"/>
        <item sd="0" x="0"/>
        <item sd="0" x="23"/>
        <item sd="0" x="44"/>
        <item sd="0" x="70"/>
        <item sd="0" x="71"/>
        <item sd="0" x="97"/>
        <item sd="0" x="170"/>
        <item sd="0" x="262"/>
        <item sd="0" x="237"/>
        <item sd="0" x="146"/>
        <item sd="0" x="45"/>
        <item sd="0" x="24"/>
        <item sd="0" x="121"/>
        <item sd="0" x="12"/>
        <item sd="0" x="2"/>
        <item sd="0" x="192"/>
        <item sd="0" x="72"/>
        <item sd="0" x="263"/>
        <item sd="0" x="171"/>
        <item sd="0" x="238"/>
        <item sd="0" x="46"/>
        <item sd="0" x="98"/>
        <item sd="0" x="214"/>
        <item sd="0" x="147"/>
        <item sd="0" x="193"/>
        <item sd="0" x="264"/>
        <item sd="0" x="99"/>
        <item sd="0" x="172"/>
        <item sd="0" x="47"/>
        <item sd="0" x="122"/>
        <item sd="0" x="11"/>
        <item sd="0" x="239"/>
        <item sd="0" x="148"/>
        <item sd="0" x="215"/>
        <item sd="0" x="1"/>
        <item sd="0" x="25"/>
        <item sd="0" x="73"/>
        <item sd="0" x="123"/>
        <item sd="0" x="216"/>
        <item sd="0" x="265"/>
        <item sd="0" x="149"/>
        <item sd="0" x="240"/>
        <item sd="0" x="194"/>
        <item sd="0" x="26"/>
        <item sd="0" x="48"/>
        <item sd="0" x="173"/>
        <item sd="0" x="100"/>
        <item sd="0" x="74"/>
        <item sd="0" x="195"/>
        <item sd="0" x="174"/>
        <item sd="0" x="124"/>
        <item sd="0" x="241"/>
        <item sd="0" x="266"/>
        <item sd="0" x="49"/>
        <item sd="0" x="101"/>
        <item sd="0" x="150"/>
        <item sd="0" x="217"/>
        <item sd="0" x="75"/>
        <item sd="0" x="27"/>
        <item sd="0" x="151"/>
        <item sd="0" x="102"/>
        <item sd="0" x="218"/>
        <item sd="0" x="242"/>
        <item sd="0" x="267"/>
        <item sd="0" x="125"/>
        <item sd="0" x="50"/>
        <item sd="0" x="28"/>
        <item sd="0" x="76"/>
        <item sd="0" x="196"/>
        <item sd="0" x="175"/>
        <item sd="0" x="4"/>
        <item sd="0" x="126"/>
        <item sd="0" x="219"/>
        <item sd="0" x="268"/>
        <item sd="0" x="77"/>
        <item sd="0" x="51"/>
        <item sd="0" x="152"/>
        <item sd="0" x="243"/>
        <item sd="0" x="127"/>
        <item sd="0" x="103"/>
        <item sd="0" x="244"/>
        <item sd="0" x="29"/>
        <item sd="0" x="197"/>
        <item sd="0" x="176"/>
        <item sd="0" x="78"/>
        <item sd="0" x="269"/>
        <item sd="0" x="52"/>
        <item sd="0" x="153"/>
        <item sd="0" x="10"/>
        <item sd="0" x="79"/>
        <item sd="0" x="104"/>
        <item sd="0" x="30"/>
        <item sd="0" x="177"/>
        <item sd="0" x="220"/>
        <item sd="0" x="245"/>
        <item sd="0" x="270"/>
        <item sd="0" x="128"/>
        <item sd="0" x="8"/>
        <item sd="0" x="154"/>
        <item sd="0" x="198"/>
        <item sd="0" x="53"/>
        <item sd="0" x="31"/>
        <item sd="0" x="271"/>
        <item sd="0" x="246"/>
        <item sd="0" x="105"/>
        <item sd="0" x="178"/>
        <item sd="0" x="221"/>
        <item sd="0" x="80"/>
        <item sd="0" x="129"/>
        <item sd="0" x="155"/>
        <item sd="0" x="54"/>
        <item sd="0" x="199"/>
        <item sd="0" x="247"/>
        <item sd="0" x="55"/>
        <item sd="0" x="106"/>
        <item sd="0" x="179"/>
        <item sd="0" x="81"/>
        <item sd="0" x="156"/>
        <item sd="0" x="222"/>
        <item sd="0" x="200"/>
        <item sd="0" x="130"/>
        <item sd="0" x="248"/>
        <item sd="0" x="56"/>
        <item sd="0" x="223"/>
        <item sd="0" x="157"/>
        <item sd="0" x="131"/>
        <item sd="0" x="180"/>
        <item sd="0" x="201"/>
        <item sd="0" x="82"/>
        <item sd="0" x="107"/>
        <item sd="0" x="32"/>
        <item sd="0" x="158"/>
        <item sd="0" x="132"/>
        <item sd="0" x="202"/>
        <item sd="0" x="83"/>
        <item sd="0" x="181"/>
        <item sd="0" x="224"/>
        <item sd="0" x="249"/>
        <item sd="0" x="57"/>
        <item sd="0" x="108"/>
        <item sd="0" x="203"/>
        <item sd="0" x="133"/>
        <item sd="0" x="225"/>
        <item sd="0" x="109"/>
        <item sd="0" x="272"/>
        <item sd="0" x="182"/>
        <item sd="0" x="84"/>
        <item sd="0" x="250"/>
        <item sd="0" x="58"/>
        <item sd="0" x="110"/>
        <item sd="0" x="59"/>
        <item sd="0" x="183"/>
        <item sd="0" x="226"/>
        <item sd="0" x="85"/>
        <item sd="0" x="273"/>
        <item sd="0" x="159"/>
        <item sd="0" x="33"/>
        <item sd="0" x="204"/>
        <item sd="0" x="251"/>
        <item sd="0" x="134"/>
        <item sd="0" x="205"/>
        <item sd="0" x="60"/>
        <item sd="0" x="184"/>
        <item sd="0" x="160"/>
        <item sd="0" x="274"/>
        <item sd="0" x="227"/>
        <item sd="0" x="135"/>
        <item sd="0" x="86"/>
        <item sd="0" x="34"/>
        <item sd="0" x="252"/>
        <item sd="0" x="111"/>
        <item t="default" sd="0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2">
    <pageField fld="6" hier="-1"/>
    <pageField fld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FE5997D-AF73-4A80-9F79-A6C7DFE246A8}" sourceName="Subscription Type">
  <pivotTables>
    <pivotTable tabId="5" name="Tbl_anual_total"/>
    <pivotTable tabId="5" name="tbl.EA_season_total"/>
    <pivotTable tabId="5" name="Tabela dinâmica3"/>
  </pivotTables>
  <data>
    <tabular pivotCacheId="300956005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D81B5A7-0837-4AE8-9A13-2A7186CECE70}" cache="SegmentaçãodeDados_Subscription_Type" caption="Subscription Type" style="SlicerStyleOther1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7B8D01-52FD-47AE-B440-BF6646A480E0}" name="Tabela2" displayName="Tabela2" ref="A3:M88" totalsRowShown="0">
  <autoFilter ref="A3:M88" xr:uid="{247B8D01-52FD-47AE-B440-BF6646A480E0}"/>
  <tableColumns count="13">
    <tableColumn id="1" xr3:uid="{E850B024-8F3C-45CB-8693-F5A2C9204A76}" name="Subscriber ID"/>
    <tableColumn id="2" xr3:uid="{2A6664C4-110E-4DBF-A973-BA86B17016B8}" name="Name"/>
    <tableColumn id="3" xr3:uid="{8A90ABAD-8082-4E5C-93C1-400F0553746C}" name="Plan"/>
    <tableColumn id="4" xr3:uid="{585721A9-3E93-4B0F-8B6F-DAFEDE0FB627}" name="Start Date" dataDxfId="21"/>
    <tableColumn id="5" xr3:uid="{7D9FE317-B03B-47C1-88C6-6C90DA30231E}" name="Auto Renewal"/>
    <tableColumn id="6" xr3:uid="{6ECB99C3-35CD-483E-A872-741D1D93761D}" name="Subscription Price"/>
    <tableColumn id="7" xr3:uid="{046AF1DE-99E3-4667-9A51-1BD7091063CC}" name="Subscription Type"/>
    <tableColumn id="8" xr3:uid="{A8FC3D72-7B85-4FD3-80AB-8FAD94273C3A}" name="EA Play Season Pass"/>
    <tableColumn id="9" xr3:uid="{8826AF41-D9D4-43CA-B3A1-11FB93379176}" name="EA Play Season Pass_x000a_Price"/>
    <tableColumn id="10" xr3:uid="{EBE79CB3-3565-465C-8AC7-12CA80E24779}" name="Minecraft Season Pass"/>
    <tableColumn id="11" xr3:uid="{4286DD39-8C68-4976-8C63-D0366B252E6C}" name="Minecraft Season Pass Price"/>
    <tableColumn id="12" xr3:uid="{02E76B3B-085A-4AEA-8F53-63154B5DE22F}" name="Coupon Value"/>
    <tableColumn id="13" xr3:uid="{7ABCFC3B-6BEF-4F3D-84AE-D8D41517D024}" name="Total 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9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8"/>
    <tableColumn id="2" xr3:uid="{53DD39D0-2220-4121-9E9D-4EAA7E151C0F}" name="Name" dataDxfId="17"/>
    <tableColumn id="3" xr3:uid="{4F5FF271-4C57-4BE0-8F2C-F82C8551625C}" name="Plan" dataDxfId="16"/>
    <tableColumn id="4" xr3:uid="{8C17EB93-79B9-4E55-B8F7-BEB82F8253E9}" name="Start Date" dataDxfId="15"/>
    <tableColumn id="5" xr3:uid="{48CEDF9B-1689-482A-A828-5CCE7713264A}" name="Auto Renewal" dataDxfId="14"/>
    <tableColumn id="6" xr3:uid="{78B82374-9AA7-4E38-AE4F-78CDE6C83720}" name="Subscription Price" dataDxfId="13" dataCellStyle="Moeda"/>
    <tableColumn id="7" xr3:uid="{F2433F68-AF33-49D0-B1FB-19A396074EDE}" name="Subscription Type" dataDxfId="12"/>
    <tableColumn id="8" xr3:uid="{FD4D9C95-F6E5-4933-9068-A71FF7DF9343}" name="EA Play Season Pass" dataDxfId="11"/>
    <tableColumn id="13" xr3:uid="{978DD0D2-834E-4CE4-A39B-30976086932F}" name="EA Play Season Pass_x000a_Price" dataDxfId="10" dataCellStyle="Moeda"/>
    <tableColumn id="9" xr3:uid="{6E29F111-C395-4580-9DAD-3407D9E8B1A4}" name="Minecraft Season Pass" dataDxfId="9"/>
    <tableColumn id="10" xr3:uid="{EF544EAA-7F25-4FD5-A10E-8E62804DB9E3}" name="Minecraft Season Pass Price" dataDxfId="8" dataCellStyle="Moeda"/>
    <tableColumn id="11" xr3:uid="{7F6EB64A-1F07-4E48-9F0F-AC7D9DCD26F8}" name="Coupon Value" dataDxfId="7" dataCellStyle="Moeda"/>
    <tableColumn id="12" xr3:uid="{2B04ABC8-DE6F-426E-ADC0-D8AFC68CA58E}" name="Total Value" dataDxfId="6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2" zoomScaleNormal="100" workbookViewId="0">
      <selection activeCell="D10" sqref="D10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79B3F-40C1-4237-9ABA-BFCA90B1A4E4}">
  <sheetPr>
    <tabColor theme="3" tint="0.749992370372631"/>
  </sheetPr>
  <dimension ref="A1:M88"/>
  <sheetViews>
    <sheetView workbookViewId="0">
      <selection activeCell="D10" sqref="D10"/>
    </sheetView>
  </sheetViews>
  <sheetFormatPr defaultRowHeight="15"/>
  <cols>
    <col min="1" max="1" width="15.5703125" bestFit="1" customWidth="1"/>
    <col min="2" max="2" width="18.85546875" bestFit="1" customWidth="1"/>
    <col min="3" max="3" width="9.28515625" bestFit="1" customWidth="1"/>
    <col min="4" max="4" width="12.28515625" bestFit="1" customWidth="1"/>
    <col min="5" max="5" width="15.7109375" bestFit="1" customWidth="1"/>
    <col min="6" max="6" width="20" bestFit="1" customWidth="1"/>
    <col min="7" max="7" width="19.7109375" bestFit="1" customWidth="1"/>
    <col min="8" max="8" width="21.5703125" bestFit="1" customWidth="1"/>
    <col min="9" max="9" width="27.140625" bestFit="1" customWidth="1"/>
    <col min="10" max="10" width="23.85546875" bestFit="1" customWidth="1"/>
    <col min="11" max="11" width="29" bestFit="1" customWidth="1"/>
    <col min="12" max="12" width="16" bestFit="1" customWidth="1"/>
    <col min="13" max="13" width="13.140625" bestFit="1" customWidth="1"/>
  </cols>
  <sheetData>
    <row r="1" spans="1:13" ht="135">
      <c r="A1" s="16" t="s">
        <v>319</v>
      </c>
    </row>
    <row r="3" spans="1:1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312</v>
      </c>
      <c r="G3" t="s">
        <v>16</v>
      </c>
      <c r="H3" t="s">
        <v>309</v>
      </c>
      <c r="I3" t="s">
        <v>310</v>
      </c>
      <c r="J3" t="s">
        <v>30</v>
      </c>
      <c r="K3" t="s">
        <v>31</v>
      </c>
      <c r="L3" t="s">
        <v>32</v>
      </c>
      <c r="M3" t="s">
        <v>33</v>
      </c>
    </row>
    <row r="4" spans="1:13">
      <c r="A4">
        <v>3522</v>
      </c>
      <c r="B4" t="s">
        <v>305</v>
      </c>
      <c r="C4" t="s">
        <v>22</v>
      </c>
      <c r="D4" s="15">
        <v>45639</v>
      </c>
      <c r="E4" t="s">
        <v>19</v>
      </c>
      <c r="F4">
        <v>5</v>
      </c>
      <c r="G4" t="s">
        <v>27</v>
      </c>
      <c r="H4" t="s">
        <v>23</v>
      </c>
      <c r="I4" t="s">
        <v>311</v>
      </c>
      <c r="J4" t="s">
        <v>23</v>
      </c>
      <c r="K4">
        <v>0</v>
      </c>
      <c r="L4">
        <v>0</v>
      </c>
      <c r="M4">
        <v>5</v>
      </c>
    </row>
    <row r="5" spans="1:13">
      <c r="A5">
        <v>3510</v>
      </c>
      <c r="B5" t="s">
        <v>296</v>
      </c>
      <c r="C5" t="s">
        <v>22</v>
      </c>
      <c r="D5" s="15">
        <v>45627</v>
      </c>
      <c r="E5" t="s">
        <v>19</v>
      </c>
      <c r="F5">
        <v>5</v>
      </c>
      <c r="G5" t="s">
        <v>27</v>
      </c>
      <c r="H5" t="s">
        <v>23</v>
      </c>
      <c r="I5" t="s">
        <v>311</v>
      </c>
      <c r="J5" t="s">
        <v>23</v>
      </c>
      <c r="K5">
        <v>0</v>
      </c>
      <c r="L5">
        <v>0</v>
      </c>
      <c r="M5">
        <v>5</v>
      </c>
    </row>
    <row r="6" spans="1:13">
      <c r="A6">
        <v>3498</v>
      </c>
      <c r="B6" t="s">
        <v>285</v>
      </c>
      <c r="C6" t="s">
        <v>22</v>
      </c>
      <c r="D6" s="15">
        <v>45615</v>
      </c>
      <c r="E6" t="s">
        <v>19</v>
      </c>
      <c r="F6">
        <v>5</v>
      </c>
      <c r="G6" t="s">
        <v>27</v>
      </c>
      <c r="H6" t="s">
        <v>23</v>
      </c>
      <c r="I6" t="s">
        <v>311</v>
      </c>
      <c r="J6" t="s">
        <v>23</v>
      </c>
      <c r="K6">
        <v>0</v>
      </c>
      <c r="L6">
        <v>0</v>
      </c>
      <c r="M6">
        <v>5</v>
      </c>
    </row>
    <row r="7" spans="1:13">
      <c r="A7">
        <v>3489</v>
      </c>
      <c r="B7" t="s">
        <v>276</v>
      </c>
      <c r="C7" t="s">
        <v>22</v>
      </c>
      <c r="D7" s="15">
        <v>45606</v>
      </c>
      <c r="E7" t="s">
        <v>23</v>
      </c>
      <c r="F7">
        <v>5</v>
      </c>
      <c r="G7" t="s">
        <v>27</v>
      </c>
      <c r="H7" t="s">
        <v>23</v>
      </c>
      <c r="I7" t="s">
        <v>311</v>
      </c>
      <c r="J7" t="s">
        <v>23</v>
      </c>
      <c r="K7">
        <v>0</v>
      </c>
      <c r="L7">
        <v>1</v>
      </c>
      <c r="M7">
        <v>4</v>
      </c>
    </row>
    <row r="8" spans="1:13">
      <c r="A8">
        <v>3244</v>
      </c>
      <c r="B8" t="s">
        <v>42</v>
      </c>
      <c r="C8" t="s">
        <v>22</v>
      </c>
      <c r="D8" s="15">
        <v>45361</v>
      </c>
      <c r="E8" t="s">
        <v>19</v>
      </c>
      <c r="F8">
        <v>5</v>
      </c>
      <c r="G8" t="s">
        <v>27</v>
      </c>
      <c r="H8" t="s">
        <v>23</v>
      </c>
      <c r="I8" t="s">
        <v>311</v>
      </c>
      <c r="J8" t="s">
        <v>23</v>
      </c>
      <c r="K8">
        <v>0</v>
      </c>
      <c r="L8">
        <v>0</v>
      </c>
      <c r="M8">
        <v>5</v>
      </c>
    </row>
    <row r="9" spans="1:13">
      <c r="A9">
        <v>3484</v>
      </c>
      <c r="B9" t="s">
        <v>271</v>
      </c>
      <c r="C9" t="s">
        <v>22</v>
      </c>
      <c r="D9" s="15">
        <v>45601</v>
      </c>
      <c r="E9" t="s">
        <v>19</v>
      </c>
      <c r="F9">
        <v>5</v>
      </c>
      <c r="G9" t="s">
        <v>27</v>
      </c>
      <c r="H9" t="s">
        <v>23</v>
      </c>
      <c r="I9" t="s">
        <v>311</v>
      </c>
      <c r="J9" t="s">
        <v>23</v>
      </c>
      <c r="K9">
        <v>0</v>
      </c>
      <c r="L9">
        <v>0</v>
      </c>
      <c r="M9">
        <v>5</v>
      </c>
    </row>
    <row r="10" spans="1:13">
      <c r="A10">
        <v>3472</v>
      </c>
      <c r="B10" t="s">
        <v>260</v>
      </c>
      <c r="C10" t="s">
        <v>22</v>
      </c>
      <c r="D10" s="15">
        <v>45589</v>
      </c>
      <c r="E10" t="s">
        <v>19</v>
      </c>
      <c r="F10">
        <v>5</v>
      </c>
      <c r="G10" t="s">
        <v>27</v>
      </c>
      <c r="H10" t="s">
        <v>23</v>
      </c>
      <c r="I10" t="s">
        <v>311</v>
      </c>
      <c r="J10" t="s">
        <v>23</v>
      </c>
      <c r="K10">
        <v>0</v>
      </c>
      <c r="L10">
        <v>0</v>
      </c>
      <c r="M10">
        <v>5</v>
      </c>
    </row>
    <row r="11" spans="1:13">
      <c r="A11">
        <v>3460</v>
      </c>
      <c r="B11" t="s">
        <v>156</v>
      </c>
      <c r="C11" t="s">
        <v>22</v>
      </c>
      <c r="D11" s="15">
        <v>45577</v>
      </c>
      <c r="E11" t="s">
        <v>19</v>
      </c>
      <c r="F11">
        <v>5</v>
      </c>
      <c r="G11" t="s">
        <v>27</v>
      </c>
      <c r="H11" t="s">
        <v>23</v>
      </c>
      <c r="I11" t="s">
        <v>311</v>
      </c>
      <c r="J11" t="s">
        <v>23</v>
      </c>
      <c r="K11">
        <v>0</v>
      </c>
      <c r="L11">
        <v>0</v>
      </c>
      <c r="M11">
        <v>5</v>
      </c>
    </row>
    <row r="12" spans="1:13">
      <c r="A12">
        <v>3256</v>
      </c>
      <c r="B12" t="s">
        <v>54</v>
      </c>
      <c r="C12" t="s">
        <v>22</v>
      </c>
      <c r="D12" s="15">
        <v>45373</v>
      </c>
      <c r="E12" t="s">
        <v>19</v>
      </c>
      <c r="F12">
        <v>5</v>
      </c>
      <c r="G12" t="s">
        <v>27</v>
      </c>
      <c r="H12" t="s">
        <v>23</v>
      </c>
      <c r="I12" t="s">
        <v>311</v>
      </c>
      <c r="J12" t="s">
        <v>23</v>
      </c>
      <c r="K12">
        <v>0</v>
      </c>
      <c r="L12">
        <v>0</v>
      </c>
      <c r="M12">
        <v>5</v>
      </c>
    </row>
    <row r="13" spans="1:13">
      <c r="A13">
        <v>3448</v>
      </c>
      <c r="B13" t="s">
        <v>239</v>
      </c>
      <c r="C13" t="s">
        <v>22</v>
      </c>
      <c r="D13" s="15">
        <v>45565</v>
      </c>
      <c r="E13" t="s">
        <v>19</v>
      </c>
      <c r="F13">
        <v>5</v>
      </c>
      <c r="G13" t="s">
        <v>27</v>
      </c>
      <c r="H13" t="s">
        <v>23</v>
      </c>
      <c r="I13" t="s">
        <v>311</v>
      </c>
      <c r="J13" t="s">
        <v>23</v>
      </c>
      <c r="K13">
        <v>0</v>
      </c>
      <c r="L13">
        <v>0</v>
      </c>
      <c r="M13">
        <v>5</v>
      </c>
    </row>
    <row r="14" spans="1:13">
      <c r="A14">
        <v>3439</v>
      </c>
      <c r="B14" t="s">
        <v>231</v>
      </c>
      <c r="C14" t="s">
        <v>22</v>
      </c>
      <c r="D14" s="15">
        <v>45556</v>
      </c>
      <c r="E14" t="s">
        <v>23</v>
      </c>
      <c r="F14">
        <v>5</v>
      </c>
      <c r="G14" t="s">
        <v>27</v>
      </c>
      <c r="H14" t="s">
        <v>23</v>
      </c>
      <c r="I14" t="s">
        <v>311</v>
      </c>
      <c r="J14" t="s">
        <v>23</v>
      </c>
      <c r="K14">
        <v>0</v>
      </c>
      <c r="L14">
        <v>1</v>
      </c>
      <c r="M14">
        <v>4</v>
      </c>
    </row>
    <row r="15" spans="1:13">
      <c r="A15">
        <v>3430</v>
      </c>
      <c r="B15" t="s">
        <v>222</v>
      </c>
      <c r="C15" t="s">
        <v>22</v>
      </c>
      <c r="D15" s="15">
        <v>45547</v>
      </c>
      <c r="E15" t="s">
        <v>19</v>
      </c>
      <c r="F15">
        <v>5</v>
      </c>
      <c r="G15" t="s">
        <v>27</v>
      </c>
      <c r="H15" t="s">
        <v>23</v>
      </c>
      <c r="I15" t="s">
        <v>311</v>
      </c>
      <c r="J15" t="s">
        <v>23</v>
      </c>
      <c r="K15">
        <v>0</v>
      </c>
      <c r="L15">
        <v>0</v>
      </c>
      <c r="M15">
        <v>5</v>
      </c>
    </row>
    <row r="16" spans="1:13">
      <c r="A16">
        <v>3269</v>
      </c>
      <c r="B16" t="s">
        <v>67</v>
      </c>
      <c r="C16" t="s">
        <v>22</v>
      </c>
      <c r="D16" s="15">
        <v>45386</v>
      </c>
      <c r="E16" t="s">
        <v>23</v>
      </c>
      <c r="F16">
        <v>5</v>
      </c>
      <c r="G16" t="s">
        <v>27</v>
      </c>
      <c r="H16" t="s">
        <v>23</v>
      </c>
      <c r="I16" t="s">
        <v>311</v>
      </c>
      <c r="J16" t="s">
        <v>23</v>
      </c>
      <c r="K16">
        <v>0</v>
      </c>
      <c r="L16">
        <v>1</v>
      </c>
      <c r="M16">
        <v>4</v>
      </c>
    </row>
    <row r="17" spans="1:13">
      <c r="A17">
        <v>3418</v>
      </c>
      <c r="B17" t="s">
        <v>213</v>
      </c>
      <c r="C17" t="s">
        <v>22</v>
      </c>
      <c r="D17" s="15">
        <v>45535</v>
      </c>
      <c r="E17" t="s">
        <v>19</v>
      </c>
      <c r="F17">
        <v>5</v>
      </c>
      <c r="G17" t="s">
        <v>27</v>
      </c>
      <c r="H17" t="s">
        <v>23</v>
      </c>
      <c r="I17" t="s">
        <v>311</v>
      </c>
      <c r="J17" t="s">
        <v>23</v>
      </c>
      <c r="K17">
        <v>0</v>
      </c>
      <c r="L17">
        <v>0</v>
      </c>
      <c r="M17">
        <v>5</v>
      </c>
    </row>
    <row r="18" spans="1:13">
      <c r="A18">
        <v>3409</v>
      </c>
      <c r="B18" t="s">
        <v>204</v>
      </c>
      <c r="C18" t="s">
        <v>22</v>
      </c>
      <c r="D18" s="15">
        <v>45526</v>
      </c>
      <c r="E18" t="s">
        <v>23</v>
      </c>
      <c r="F18">
        <v>5</v>
      </c>
      <c r="G18" t="s">
        <v>27</v>
      </c>
      <c r="H18" t="s">
        <v>23</v>
      </c>
      <c r="I18" t="s">
        <v>311</v>
      </c>
      <c r="J18" t="s">
        <v>23</v>
      </c>
      <c r="K18">
        <v>0</v>
      </c>
      <c r="L18">
        <v>1</v>
      </c>
      <c r="M18">
        <v>4</v>
      </c>
    </row>
    <row r="19" spans="1:13">
      <c r="A19">
        <v>3278</v>
      </c>
      <c r="B19" t="s">
        <v>76</v>
      </c>
      <c r="C19" t="s">
        <v>22</v>
      </c>
      <c r="D19" s="15">
        <v>45395</v>
      </c>
      <c r="E19" t="s">
        <v>19</v>
      </c>
      <c r="F19">
        <v>5</v>
      </c>
      <c r="G19" t="s">
        <v>27</v>
      </c>
      <c r="H19" t="s">
        <v>23</v>
      </c>
      <c r="I19" t="s">
        <v>311</v>
      </c>
      <c r="J19" t="s">
        <v>23</v>
      </c>
      <c r="K19">
        <v>0</v>
      </c>
      <c r="L19">
        <v>0</v>
      </c>
      <c r="M19">
        <v>5</v>
      </c>
    </row>
    <row r="20" spans="1:13">
      <c r="A20">
        <v>3402</v>
      </c>
      <c r="B20" t="s">
        <v>197</v>
      </c>
      <c r="C20" t="s">
        <v>22</v>
      </c>
      <c r="D20" s="15">
        <v>45519</v>
      </c>
      <c r="E20" t="s">
        <v>19</v>
      </c>
      <c r="F20">
        <v>5</v>
      </c>
      <c r="G20" t="s">
        <v>27</v>
      </c>
      <c r="H20" t="s">
        <v>23</v>
      </c>
      <c r="I20" t="s">
        <v>311</v>
      </c>
      <c r="J20" t="s">
        <v>23</v>
      </c>
      <c r="K20">
        <v>0</v>
      </c>
      <c r="L20">
        <v>0</v>
      </c>
      <c r="M20">
        <v>5</v>
      </c>
    </row>
    <row r="21" spans="1:13">
      <c r="A21">
        <v>3390</v>
      </c>
      <c r="B21" t="s">
        <v>187</v>
      </c>
      <c r="C21" t="s">
        <v>22</v>
      </c>
      <c r="D21" s="15">
        <v>45507</v>
      </c>
      <c r="E21" t="s">
        <v>19</v>
      </c>
      <c r="F21">
        <v>5</v>
      </c>
      <c r="G21" t="s">
        <v>27</v>
      </c>
      <c r="H21" t="s">
        <v>23</v>
      </c>
      <c r="I21" t="s">
        <v>311</v>
      </c>
      <c r="J21" t="s">
        <v>23</v>
      </c>
      <c r="K21">
        <v>0</v>
      </c>
      <c r="L21">
        <v>0</v>
      </c>
      <c r="M21">
        <v>5</v>
      </c>
    </row>
    <row r="22" spans="1:13">
      <c r="A22">
        <v>3378</v>
      </c>
      <c r="B22" t="s">
        <v>175</v>
      </c>
      <c r="C22" t="s">
        <v>22</v>
      </c>
      <c r="D22" s="15">
        <v>45495</v>
      </c>
      <c r="E22" t="s">
        <v>19</v>
      </c>
      <c r="F22">
        <v>5</v>
      </c>
      <c r="G22" t="s">
        <v>27</v>
      </c>
      <c r="H22" t="s">
        <v>23</v>
      </c>
      <c r="I22" t="s">
        <v>311</v>
      </c>
      <c r="J22" t="s">
        <v>23</v>
      </c>
      <c r="K22">
        <v>0</v>
      </c>
      <c r="L22">
        <v>0</v>
      </c>
      <c r="M22">
        <v>5</v>
      </c>
    </row>
    <row r="23" spans="1:13">
      <c r="A23">
        <v>3290</v>
      </c>
      <c r="B23" t="s">
        <v>88</v>
      </c>
      <c r="C23" t="s">
        <v>22</v>
      </c>
      <c r="D23" s="15">
        <v>45407</v>
      </c>
      <c r="E23" t="s">
        <v>19</v>
      </c>
      <c r="F23">
        <v>5</v>
      </c>
      <c r="G23" t="s">
        <v>27</v>
      </c>
      <c r="H23" t="s">
        <v>23</v>
      </c>
      <c r="I23" t="s">
        <v>311</v>
      </c>
      <c r="J23" t="s">
        <v>23</v>
      </c>
      <c r="K23">
        <v>0</v>
      </c>
      <c r="L23">
        <v>0</v>
      </c>
      <c r="M23">
        <v>5</v>
      </c>
    </row>
    <row r="24" spans="1:13">
      <c r="A24">
        <v>3369</v>
      </c>
      <c r="B24" t="s">
        <v>166</v>
      </c>
      <c r="C24" t="s">
        <v>22</v>
      </c>
      <c r="D24" s="15">
        <v>45486</v>
      </c>
      <c r="E24" t="s">
        <v>23</v>
      </c>
      <c r="F24">
        <v>5</v>
      </c>
      <c r="G24" t="s">
        <v>27</v>
      </c>
      <c r="H24" t="s">
        <v>23</v>
      </c>
      <c r="I24" t="s">
        <v>311</v>
      </c>
      <c r="J24" t="s">
        <v>23</v>
      </c>
      <c r="K24">
        <v>0</v>
      </c>
      <c r="L24">
        <v>1</v>
      </c>
      <c r="M24">
        <v>4</v>
      </c>
    </row>
    <row r="25" spans="1:13">
      <c r="A25">
        <v>3360</v>
      </c>
      <c r="B25" t="s">
        <v>157</v>
      </c>
      <c r="C25" t="s">
        <v>22</v>
      </c>
      <c r="D25" s="15">
        <v>45477</v>
      </c>
      <c r="E25" t="s">
        <v>19</v>
      </c>
      <c r="F25">
        <v>5</v>
      </c>
      <c r="G25" t="s">
        <v>27</v>
      </c>
      <c r="H25" t="s">
        <v>23</v>
      </c>
      <c r="I25" t="s">
        <v>311</v>
      </c>
      <c r="J25" t="s">
        <v>23</v>
      </c>
      <c r="K25">
        <v>0</v>
      </c>
      <c r="L25">
        <v>0</v>
      </c>
      <c r="M25">
        <v>5</v>
      </c>
    </row>
    <row r="26" spans="1:13">
      <c r="A26">
        <v>3299</v>
      </c>
      <c r="B26" t="s">
        <v>97</v>
      </c>
      <c r="C26" t="s">
        <v>22</v>
      </c>
      <c r="D26" s="15">
        <v>45416</v>
      </c>
      <c r="E26" t="s">
        <v>19</v>
      </c>
      <c r="F26">
        <v>5</v>
      </c>
      <c r="G26" t="s">
        <v>27</v>
      </c>
      <c r="H26" t="s">
        <v>23</v>
      </c>
      <c r="I26" t="s">
        <v>311</v>
      </c>
      <c r="J26" t="s">
        <v>23</v>
      </c>
      <c r="K26">
        <v>0</v>
      </c>
      <c r="L26">
        <v>1</v>
      </c>
      <c r="M26">
        <v>4</v>
      </c>
    </row>
    <row r="27" spans="1:13">
      <c r="A27">
        <v>3348</v>
      </c>
      <c r="B27" t="s">
        <v>146</v>
      </c>
      <c r="C27" t="s">
        <v>22</v>
      </c>
      <c r="D27" s="15">
        <v>45465</v>
      </c>
      <c r="E27" t="s">
        <v>19</v>
      </c>
      <c r="F27">
        <v>5</v>
      </c>
      <c r="G27" t="s">
        <v>27</v>
      </c>
      <c r="H27" t="s">
        <v>23</v>
      </c>
      <c r="I27" t="s">
        <v>311</v>
      </c>
      <c r="J27" t="s">
        <v>23</v>
      </c>
      <c r="K27">
        <v>0</v>
      </c>
      <c r="L27">
        <v>0</v>
      </c>
      <c r="M27">
        <v>5</v>
      </c>
    </row>
    <row r="28" spans="1:13">
      <c r="A28">
        <v>3339</v>
      </c>
      <c r="B28" t="s">
        <v>137</v>
      </c>
      <c r="C28" t="s">
        <v>22</v>
      </c>
      <c r="D28" s="15">
        <v>45456</v>
      </c>
      <c r="E28" t="s">
        <v>23</v>
      </c>
      <c r="F28">
        <v>5</v>
      </c>
      <c r="G28" t="s">
        <v>27</v>
      </c>
      <c r="H28" t="s">
        <v>23</v>
      </c>
      <c r="I28" t="s">
        <v>311</v>
      </c>
      <c r="J28" t="s">
        <v>23</v>
      </c>
      <c r="K28">
        <v>0</v>
      </c>
      <c r="L28">
        <v>1</v>
      </c>
      <c r="M28">
        <v>4</v>
      </c>
    </row>
    <row r="29" spans="1:13">
      <c r="A29">
        <v>3308</v>
      </c>
      <c r="B29" t="s">
        <v>106</v>
      </c>
      <c r="C29" t="s">
        <v>22</v>
      </c>
      <c r="D29" s="15">
        <v>45425</v>
      </c>
      <c r="E29" t="s">
        <v>23</v>
      </c>
      <c r="F29">
        <v>5</v>
      </c>
      <c r="G29" t="s">
        <v>27</v>
      </c>
      <c r="H29" t="s">
        <v>23</v>
      </c>
      <c r="I29" t="s">
        <v>311</v>
      </c>
      <c r="J29" t="s">
        <v>23</v>
      </c>
      <c r="K29">
        <v>0</v>
      </c>
      <c r="L29">
        <v>0</v>
      </c>
      <c r="M29">
        <v>5</v>
      </c>
    </row>
    <row r="30" spans="1:13">
      <c r="A30">
        <v>3329</v>
      </c>
      <c r="B30" t="s">
        <v>127</v>
      </c>
      <c r="C30" t="s">
        <v>22</v>
      </c>
      <c r="D30" s="15">
        <v>45446</v>
      </c>
      <c r="E30" t="s">
        <v>19</v>
      </c>
      <c r="F30">
        <v>5</v>
      </c>
      <c r="G30" t="s">
        <v>27</v>
      </c>
      <c r="H30" t="s">
        <v>23</v>
      </c>
      <c r="I30" t="s">
        <v>311</v>
      </c>
      <c r="J30" t="s">
        <v>23</v>
      </c>
      <c r="K30">
        <v>0</v>
      </c>
      <c r="L30">
        <v>1</v>
      </c>
      <c r="M30">
        <v>4</v>
      </c>
    </row>
    <row r="31" spans="1:13">
      <c r="A31">
        <v>3320</v>
      </c>
      <c r="B31" t="s">
        <v>118</v>
      </c>
      <c r="C31" t="s">
        <v>22</v>
      </c>
      <c r="D31" s="15">
        <v>45437</v>
      </c>
      <c r="E31" t="s">
        <v>23</v>
      </c>
      <c r="F31">
        <v>5</v>
      </c>
      <c r="G31" t="s">
        <v>27</v>
      </c>
      <c r="H31" t="s">
        <v>23</v>
      </c>
      <c r="I31" t="s">
        <v>311</v>
      </c>
      <c r="J31" t="s">
        <v>23</v>
      </c>
      <c r="K31">
        <v>0</v>
      </c>
      <c r="L31">
        <v>0</v>
      </c>
      <c r="M31">
        <v>5</v>
      </c>
    </row>
    <row r="32" spans="1:13">
      <c r="A32">
        <v>3518</v>
      </c>
      <c r="B32" t="s">
        <v>301</v>
      </c>
      <c r="C32" t="s">
        <v>26</v>
      </c>
      <c r="D32" s="15">
        <v>45635</v>
      </c>
      <c r="E32" t="s">
        <v>19</v>
      </c>
      <c r="F32">
        <v>10</v>
      </c>
      <c r="G32" t="s">
        <v>27</v>
      </c>
      <c r="H32" t="s">
        <v>23</v>
      </c>
      <c r="I32" t="s">
        <v>311</v>
      </c>
      <c r="J32" t="s">
        <v>19</v>
      </c>
      <c r="K32">
        <v>20</v>
      </c>
      <c r="L32">
        <v>12</v>
      </c>
      <c r="M32">
        <v>18</v>
      </c>
    </row>
    <row r="33" spans="1:13">
      <c r="A33">
        <v>3233</v>
      </c>
      <c r="B33" t="s">
        <v>25</v>
      </c>
      <c r="C33" t="s">
        <v>26</v>
      </c>
      <c r="D33" s="15">
        <v>45332</v>
      </c>
      <c r="E33" t="s">
        <v>19</v>
      </c>
      <c r="F33">
        <v>10</v>
      </c>
      <c r="G33" t="s">
        <v>27</v>
      </c>
      <c r="H33" t="s">
        <v>23</v>
      </c>
      <c r="I33" t="s">
        <v>311</v>
      </c>
      <c r="J33" t="s">
        <v>19</v>
      </c>
      <c r="K33">
        <v>20</v>
      </c>
      <c r="L33">
        <v>10</v>
      </c>
      <c r="M33">
        <v>20</v>
      </c>
    </row>
    <row r="34" spans="1:13">
      <c r="A34">
        <v>3506</v>
      </c>
      <c r="B34" t="s">
        <v>292</v>
      </c>
      <c r="C34" t="s">
        <v>26</v>
      </c>
      <c r="D34" s="15">
        <v>45623</v>
      </c>
      <c r="E34" t="s">
        <v>19</v>
      </c>
      <c r="F34">
        <v>10</v>
      </c>
      <c r="G34" t="s">
        <v>27</v>
      </c>
      <c r="H34" t="s">
        <v>23</v>
      </c>
      <c r="I34" t="s">
        <v>311</v>
      </c>
      <c r="J34" t="s">
        <v>19</v>
      </c>
      <c r="K34">
        <v>20</v>
      </c>
      <c r="L34">
        <v>15</v>
      </c>
      <c r="M34">
        <v>15</v>
      </c>
    </row>
    <row r="35" spans="1:13">
      <c r="A35">
        <v>3240</v>
      </c>
      <c r="B35" t="s">
        <v>38</v>
      </c>
      <c r="C35" t="s">
        <v>26</v>
      </c>
      <c r="D35" s="15">
        <v>45357</v>
      </c>
      <c r="E35" t="s">
        <v>19</v>
      </c>
      <c r="F35">
        <v>10</v>
      </c>
      <c r="G35" t="s">
        <v>27</v>
      </c>
      <c r="H35" t="s">
        <v>23</v>
      </c>
      <c r="I35" t="s">
        <v>311</v>
      </c>
      <c r="J35" t="s">
        <v>19</v>
      </c>
      <c r="K35">
        <v>20</v>
      </c>
      <c r="L35">
        <v>15</v>
      </c>
      <c r="M35">
        <v>15</v>
      </c>
    </row>
    <row r="36" spans="1:13">
      <c r="A36">
        <v>3494</v>
      </c>
      <c r="B36" t="s">
        <v>281</v>
      </c>
      <c r="C36" t="s">
        <v>26</v>
      </c>
      <c r="D36" s="15">
        <v>45611</v>
      </c>
      <c r="E36" t="s">
        <v>19</v>
      </c>
      <c r="F36">
        <v>10</v>
      </c>
      <c r="G36" t="s">
        <v>27</v>
      </c>
      <c r="H36" t="s">
        <v>23</v>
      </c>
      <c r="I36" t="s">
        <v>311</v>
      </c>
      <c r="J36" t="s">
        <v>19</v>
      </c>
      <c r="K36">
        <v>20</v>
      </c>
      <c r="L36">
        <v>12</v>
      </c>
      <c r="M36">
        <v>18</v>
      </c>
    </row>
    <row r="37" spans="1:13">
      <c r="A37">
        <v>3480</v>
      </c>
      <c r="B37" t="s">
        <v>267</v>
      </c>
      <c r="C37" t="s">
        <v>26</v>
      </c>
      <c r="D37" s="15">
        <v>45597</v>
      </c>
      <c r="E37" t="s">
        <v>19</v>
      </c>
      <c r="F37">
        <v>10</v>
      </c>
      <c r="G37" t="s">
        <v>27</v>
      </c>
      <c r="H37" t="s">
        <v>23</v>
      </c>
      <c r="I37" t="s">
        <v>311</v>
      </c>
      <c r="J37" t="s">
        <v>19</v>
      </c>
      <c r="K37">
        <v>20</v>
      </c>
      <c r="L37">
        <v>15</v>
      </c>
      <c r="M37">
        <v>15</v>
      </c>
    </row>
    <row r="38" spans="1:13">
      <c r="A38">
        <v>3468</v>
      </c>
      <c r="B38" t="s">
        <v>256</v>
      </c>
      <c r="C38" t="s">
        <v>26</v>
      </c>
      <c r="D38" s="15">
        <v>45585</v>
      </c>
      <c r="E38" t="s">
        <v>19</v>
      </c>
      <c r="F38">
        <v>10</v>
      </c>
      <c r="G38" t="s">
        <v>27</v>
      </c>
      <c r="H38" t="s">
        <v>23</v>
      </c>
      <c r="I38" t="s">
        <v>311</v>
      </c>
      <c r="J38" t="s">
        <v>19</v>
      </c>
      <c r="K38">
        <v>20</v>
      </c>
      <c r="L38">
        <v>12</v>
      </c>
      <c r="M38">
        <v>18</v>
      </c>
    </row>
    <row r="39" spans="1:13">
      <c r="A39">
        <v>3252</v>
      </c>
      <c r="B39" t="s">
        <v>50</v>
      </c>
      <c r="C39" t="s">
        <v>26</v>
      </c>
      <c r="D39" s="15">
        <v>45369</v>
      </c>
      <c r="E39" t="s">
        <v>19</v>
      </c>
      <c r="F39">
        <v>10</v>
      </c>
      <c r="G39" t="s">
        <v>27</v>
      </c>
      <c r="H39" t="s">
        <v>23</v>
      </c>
      <c r="I39" t="s">
        <v>311</v>
      </c>
      <c r="J39" t="s">
        <v>19</v>
      </c>
      <c r="K39">
        <v>20</v>
      </c>
      <c r="L39">
        <v>15</v>
      </c>
      <c r="M39">
        <v>15</v>
      </c>
    </row>
    <row r="40" spans="1:13">
      <c r="A40">
        <v>3456</v>
      </c>
      <c r="B40" t="s">
        <v>245</v>
      </c>
      <c r="C40" t="s">
        <v>26</v>
      </c>
      <c r="D40" s="15">
        <v>45573</v>
      </c>
      <c r="E40" t="s">
        <v>19</v>
      </c>
      <c r="F40">
        <v>10</v>
      </c>
      <c r="G40" t="s">
        <v>27</v>
      </c>
      <c r="H40" t="s">
        <v>23</v>
      </c>
      <c r="I40" t="s">
        <v>311</v>
      </c>
      <c r="J40" t="s">
        <v>19</v>
      </c>
      <c r="K40">
        <v>20</v>
      </c>
      <c r="L40">
        <v>15</v>
      </c>
      <c r="M40">
        <v>15</v>
      </c>
    </row>
    <row r="41" spans="1:13">
      <c r="A41">
        <v>3444</v>
      </c>
      <c r="B41" t="s">
        <v>236</v>
      </c>
      <c r="C41" t="s">
        <v>26</v>
      </c>
      <c r="D41" s="15">
        <v>45561</v>
      </c>
      <c r="E41" t="s">
        <v>19</v>
      </c>
      <c r="F41">
        <v>10</v>
      </c>
      <c r="G41" t="s">
        <v>27</v>
      </c>
      <c r="H41" t="s">
        <v>23</v>
      </c>
      <c r="I41" t="s">
        <v>311</v>
      </c>
      <c r="J41" t="s">
        <v>19</v>
      </c>
      <c r="K41">
        <v>20</v>
      </c>
      <c r="L41">
        <v>12</v>
      </c>
      <c r="M41">
        <v>18</v>
      </c>
    </row>
    <row r="42" spans="1:13">
      <c r="A42">
        <v>3264</v>
      </c>
      <c r="B42" t="s">
        <v>62</v>
      </c>
      <c r="C42" t="s">
        <v>26</v>
      </c>
      <c r="D42" s="15">
        <v>45381</v>
      </c>
      <c r="E42" t="s">
        <v>19</v>
      </c>
      <c r="F42">
        <v>10</v>
      </c>
      <c r="G42" t="s">
        <v>27</v>
      </c>
      <c r="H42" t="s">
        <v>23</v>
      </c>
      <c r="I42" t="s">
        <v>311</v>
      </c>
      <c r="J42" t="s">
        <v>19</v>
      </c>
      <c r="K42">
        <v>20</v>
      </c>
      <c r="L42">
        <v>15</v>
      </c>
      <c r="M42">
        <v>15</v>
      </c>
    </row>
    <row r="43" spans="1:13">
      <c r="A43">
        <v>3426</v>
      </c>
      <c r="B43" t="s">
        <v>196</v>
      </c>
      <c r="C43" t="s">
        <v>26</v>
      </c>
      <c r="D43" s="15">
        <v>45543</v>
      </c>
      <c r="E43" t="s">
        <v>19</v>
      </c>
      <c r="F43">
        <v>10</v>
      </c>
      <c r="G43" t="s">
        <v>27</v>
      </c>
      <c r="H43" t="s">
        <v>23</v>
      </c>
      <c r="I43" t="s">
        <v>311</v>
      </c>
      <c r="J43" t="s">
        <v>19</v>
      </c>
      <c r="K43">
        <v>20</v>
      </c>
      <c r="L43">
        <v>15</v>
      </c>
      <c r="M43">
        <v>15</v>
      </c>
    </row>
    <row r="44" spans="1:13">
      <c r="A44">
        <v>3414</v>
      </c>
      <c r="B44" t="s">
        <v>209</v>
      </c>
      <c r="C44" t="s">
        <v>26</v>
      </c>
      <c r="D44" s="15">
        <v>45531</v>
      </c>
      <c r="E44" t="s">
        <v>19</v>
      </c>
      <c r="F44">
        <v>10</v>
      </c>
      <c r="G44" t="s">
        <v>27</v>
      </c>
      <c r="H44" t="s">
        <v>23</v>
      </c>
      <c r="I44" t="s">
        <v>311</v>
      </c>
      <c r="J44" t="s">
        <v>19</v>
      </c>
      <c r="K44">
        <v>20</v>
      </c>
      <c r="L44">
        <v>12</v>
      </c>
      <c r="M44">
        <v>18</v>
      </c>
    </row>
    <row r="45" spans="1:13">
      <c r="A45">
        <v>3274</v>
      </c>
      <c r="B45" t="s">
        <v>72</v>
      </c>
      <c r="C45" t="s">
        <v>26</v>
      </c>
      <c r="D45" s="15">
        <v>45391</v>
      </c>
      <c r="E45" t="s">
        <v>19</v>
      </c>
      <c r="F45">
        <v>10</v>
      </c>
      <c r="G45" t="s">
        <v>27</v>
      </c>
      <c r="H45" t="s">
        <v>23</v>
      </c>
      <c r="I45" t="s">
        <v>311</v>
      </c>
      <c r="J45" t="s">
        <v>19</v>
      </c>
      <c r="K45">
        <v>20</v>
      </c>
      <c r="L45">
        <v>12</v>
      </c>
      <c r="M45">
        <v>18</v>
      </c>
    </row>
    <row r="46" spans="1:13">
      <c r="A46">
        <v>3398</v>
      </c>
      <c r="B46" t="s">
        <v>193</v>
      </c>
      <c r="C46" t="s">
        <v>26</v>
      </c>
      <c r="D46" s="15">
        <v>45515</v>
      </c>
      <c r="E46" t="s">
        <v>19</v>
      </c>
      <c r="F46">
        <v>10</v>
      </c>
      <c r="G46" t="s">
        <v>27</v>
      </c>
      <c r="H46" t="s">
        <v>23</v>
      </c>
      <c r="I46" t="s">
        <v>311</v>
      </c>
      <c r="J46" t="s">
        <v>19</v>
      </c>
      <c r="K46">
        <v>20</v>
      </c>
      <c r="L46">
        <v>15</v>
      </c>
      <c r="M46">
        <v>15</v>
      </c>
    </row>
    <row r="47" spans="1:13">
      <c r="A47">
        <v>3386</v>
      </c>
      <c r="B47" t="s">
        <v>183</v>
      </c>
      <c r="C47" t="s">
        <v>26</v>
      </c>
      <c r="D47" s="15">
        <v>45503</v>
      </c>
      <c r="E47" t="s">
        <v>19</v>
      </c>
      <c r="F47">
        <v>10</v>
      </c>
      <c r="G47" t="s">
        <v>27</v>
      </c>
      <c r="H47" t="s">
        <v>23</v>
      </c>
      <c r="I47" t="s">
        <v>311</v>
      </c>
      <c r="J47" t="s">
        <v>19</v>
      </c>
      <c r="K47">
        <v>20</v>
      </c>
      <c r="L47">
        <v>15</v>
      </c>
      <c r="M47">
        <v>15</v>
      </c>
    </row>
    <row r="48" spans="1:13">
      <c r="A48">
        <v>3286</v>
      </c>
      <c r="B48" t="s">
        <v>84</v>
      </c>
      <c r="C48" t="s">
        <v>26</v>
      </c>
      <c r="D48" s="15">
        <v>45403</v>
      </c>
      <c r="E48" t="s">
        <v>19</v>
      </c>
      <c r="F48">
        <v>10</v>
      </c>
      <c r="G48" t="s">
        <v>27</v>
      </c>
      <c r="H48" t="s">
        <v>23</v>
      </c>
      <c r="I48" t="s">
        <v>311</v>
      </c>
      <c r="J48" t="s">
        <v>19</v>
      </c>
      <c r="K48">
        <v>20</v>
      </c>
      <c r="L48">
        <v>15</v>
      </c>
      <c r="M48">
        <v>15</v>
      </c>
    </row>
    <row r="49" spans="1:13">
      <c r="A49">
        <v>3374</v>
      </c>
      <c r="B49" t="s">
        <v>171</v>
      </c>
      <c r="C49" t="s">
        <v>26</v>
      </c>
      <c r="D49" s="15">
        <v>45491</v>
      </c>
      <c r="E49" t="s">
        <v>19</v>
      </c>
      <c r="F49">
        <v>10</v>
      </c>
      <c r="G49" t="s">
        <v>27</v>
      </c>
      <c r="H49" t="s">
        <v>23</v>
      </c>
      <c r="I49" t="s">
        <v>311</v>
      </c>
      <c r="J49" t="s">
        <v>19</v>
      </c>
      <c r="K49">
        <v>20</v>
      </c>
      <c r="L49">
        <v>12</v>
      </c>
      <c r="M49">
        <v>18</v>
      </c>
    </row>
    <row r="50" spans="1:13">
      <c r="A50">
        <v>3356</v>
      </c>
      <c r="B50" t="s">
        <v>153</v>
      </c>
      <c r="C50" t="s">
        <v>26</v>
      </c>
      <c r="D50" s="15">
        <v>45473</v>
      </c>
      <c r="E50" t="s">
        <v>19</v>
      </c>
      <c r="F50">
        <v>10</v>
      </c>
      <c r="G50" t="s">
        <v>27</v>
      </c>
      <c r="H50" t="s">
        <v>23</v>
      </c>
      <c r="I50" t="s">
        <v>311</v>
      </c>
      <c r="J50" t="s">
        <v>19</v>
      </c>
      <c r="K50">
        <v>20</v>
      </c>
      <c r="L50">
        <v>15</v>
      </c>
      <c r="M50">
        <v>15</v>
      </c>
    </row>
    <row r="51" spans="1:13">
      <c r="A51">
        <v>3344</v>
      </c>
      <c r="B51" t="s">
        <v>142</v>
      </c>
      <c r="C51" t="s">
        <v>26</v>
      </c>
      <c r="D51" s="15">
        <v>45461</v>
      </c>
      <c r="E51" t="s">
        <v>19</v>
      </c>
      <c r="F51">
        <v>10</v>
      </c>
      <c r="G51" t="s">
        <v>27</v>
      </c>
      <c r="H51" t="s">
        <v>23</v>
      </c>
      <c r="I51" t="s">
        <v>311</v>
      </c>
      <c r="J51" t="s">
        <v>19</v>
      </c>
      <c r="K51">
        <v>20</v>
      </c>
      <c r="L51">
        <v>12</v>
      </c>
      <c r="M51">
        <v>18</v>
      </c>
    </row>
    <row r="52" spans="1:13">
      <c r="A52">
        <v>3304</v>
      </c>
      <c r="B52" t="s">
        <v>102</v>
      </c>
      <c r="C52" t="s">
        <v>26</v>
      </c>
      <c r="D52" s="15">
        <v>45421</v>
      </c>
      <c r="E52" t="s">
        <v>23</v>
      </c>
      <c r="F52">
        <v>10</v>
      </c>
      <c r="G52" t="s">
        <v>27</v>
      </c>
      <c r="H52" t="s">
        <v>23</v>
      </c>
      <c r="I52" t="s">
        <v>311</v>
      </c>
      <c r="J52" t="s">
        <v>19</v>
      </c>
      <c r="K52">
        <v>20</v>
      </c>
      <c r="L52">
        <v>12</v>
      </c>
      <c r="M52">
        <v>18</v>
      </c>
    </row>
    <row r="53" spans="1:13">
      <c r="A53">
        <v>3334</v>
      </c>
      <c r="B53" t="s">
        <v>132</v>
      </c>
      <c r="C53" t="s">
        <v>26</v>
      </c>
      <c r="D53" s="15">
        <v>45451</v>
      </c>
      <c r="E53" t="s">
        <v>23</v>
      </c>
      <c r="F53">
        <v>10</v>
      </c>
      <c r="G53" t="s">
        <v>27</v>
      </c>
      <c r="H53" t="s">
        <v>23</v>
      </c>
      <c r="I53" t="s">
        <v>311</v>
      </c>
      <c r="J53" t="s">
        <v>19</v>
      </c>
      <c r="K53">
        <v>20</v>
      </c>
      <c r="L53">
        <v>12</v>
      </c>
      <c r="M53">
        <v>18</v>
      </c>
    </row>
    <row r="54" spans="1:13">
      <c r="A54">
        <v>3325</v>
      </c>
      <c r="B54" t="s">
        <v>123</v>
      </c>
      <c r="C54" t="s">
        <v>26</v>
      </c>
      <c r="D54" s="15">
        <v>45442</v>
      </c>
      <c r="E54" t="s">
        <v>19</v>
      </c>
      <c r="F54">
        <v>10</v>
      </c>
      <c r="G54" t="s">
        <v>27</v>
      </c>
      <c r="H54" t="s">
        <v>23</v>
      </c>
      <c r="I54" t="s">
        <v>311</v>
      </c>
      <c r="J54" t="s">
        <v>19</v>
      </c>
      <c r="K54">
        <v>20</v>
      </c>
      <c r="L54">
        <v>15</v>
      </c>
      <c r="M54">
        <v>15</v>
      </c>
    </row>
    <row r="55" spans="1:13">
      <c r="A55">
        <v>3316</v>
      </c>
      <c r="B55" t="s">
        <v>114</v>
      </c>
      <c r="C55" t="s">
        <v>26</v>
      </c>
      <c r="D55" s="15">
        <v>45433</v>
      </c>
      <c r="E55" t="s">
        <v>23</v>
      </c>
      <c r="F55">
        <v>10</v>
      </c>
      <c r="G55" t="s">
        <v>27</v>
      </c>
      <c r="H55" t="s">
        <v>23</v>
      </c>
      <c r="I55" t="s">
        <v>311</v>
      </c>
      <c r="J55" t="s">
        <v>19</v>
      </c>
      <c r="K55">
        <v>20</v>
      </c>
      <c r="L55">
        <v>15</v>
      </c>
      <c r="M55">
        <v>15</v>
      </c>
    </row>
    <row r="56" spans="1:13">
      <c r="A56">
        <v>3514</v>
      </c>
      <c r="B56" t="s">
        <v>300</v>
      </c>
      <c r="C56" t="s">
        <v>18</v>
      </c>
      <c r="D56" s="15">
        <v>45631</v>
      </c>
      <c r="E56" t="s">
        <v>19</v>
      </c>
      <c r="F56">
        <v>15</v>
      </c>
      <c r="G56" t="s">
        <v>27</v>
      </c>
      <c r="H56" t="s">
        <v>19</v>
      </c>
      <c r="I56">
        <v>30</v>
      </c>
      <c r="J56" t="s">
        <v>19</v>
      </c>
      <c r="K56">
        <v>20</v>
      </c>
      <c r="L56">
        <v>7</v>
      </c>
      <c r="M56">
        <v>58</v>
      </c>
    </row>
    <row r="57" spans="1:13">
      <c r="A57">
        <v>3237</v>
      </c>
      <c r="B57" t="s">
        <v>35</v>
      </c>
      <c r="C57" t="s">
        <v>18</v>
      </c>
      <c r="D57" s="15">
        <v>45354</v>
      </c>
      <c r="E57" t="s">
        <v>19</v>
      </c>
      <c r="F57">
        <v>15</v>
      </c>
      <c r="G57" t="s">
        <v>27</v>
      </c>
      <c r="H57" t="s">
        <v>19</v>
      </c>
      <c r="I57">
        <v>30</v>
      </c>
      <c r="J57" t="s">
        <v>19</v>
      </c>
      <c r="K57">
        <v>20</v>
      </c>
      <c r="L57">
        <v>10</v>
      </c>
      <c r="M57">
        <v>55</v>
      </c>
    </row>
    <row r="58" spans="1:13">
      <c r="A58">
        <v>3502</v>
      </c>
      <c r="B58" t="s">
        <v>289</v>
      </c>
      <c r="C58" t="s">
        <v>18</v>
      </c>
      <c r="D58" s="15">
        <v>45619</v>
      </c>
      <c r="E58" t="s">
        <v>19</v>
      </c>
      <c r="F58">
        <v>15</v>
      </c>
      <c r="G58" t="s">
        <v>27</v>
      </c>
      <c r="H58" t="s">
        <v>19</v>
      </c>
      <c r="I58">
        <v>30</v>
      </c>
      <c r="J58" t="s">
        <v>19</v>
      </c>
      <c r="K58">
        <v>20</v>
      </c>
      <c r="L58">
        <v>7</v>
      </c>
      <c r="M58">
        <v>58</v>
      </c>
    </row>
    <row r="59" spans="1:13">
      <c r="A59">
        <v>3493</v>
      </c>
      <c r="B59" t="s">
        <v>280</v>
      </c>
      <c r="C59" t="s">
        <v>18</v>
      </c>
      <c r="D59" s="15">
        <v>45610</v>
      </c>
      <c r="E59" t="s">
        <v>23</v>
      </c>
      <c r="F59">
        <v>15</v>
      </c>
      <c r="G59" t="s">
        <v>27</v>
      </c>
      <c r="H59" t="s">
        <v>19</v>
      </c>
      <c r="I59">
        <v>30</v>
      </c>
      <c r="J59" t="s">
        <v>19</v>
      </c>
      <c r="K59">
        <v>20</v>
      </c>
      <c r="L59">
        <v>20</v>
      </c>
      <c r="M59">
        <v>45</v>
      </c>
    </row>
    <row r="60" spans="1:13">
      <c r="A60">
        <v>3487</v>
      </c>
      <c r="B60" t="s">
        <v>274</v>
      </c>
      <c r="C60" t="s">
        <v>18</v>
      </c>
      <c r="D60" s="15">
        <v>45604</v>
      </c>
      <c r="E60" t="s">
        <v>23</v>
      </c>
      <c r="F60">
        <v>15</v>
      </c>
      <c r="G60" t="s">
        <v>27</v>
      </c>
      <c r="H60" t="s">
        <v>19</v>
      </c>
      <c r="I60">
        <v>30</v>
      </c>
      <c r="J60" t="s">
        <v>19</v>
      </c>
      <c r="K60">
        <v>20</v>
      </c>
      <c r="L60">
        <v>7</v>
      </c>
      <c r="M60">
        <v>58</v>
      </c>
    </row>
    <row r="61" spans="1:13">
      <c r="A61">
        <v>3248</v>
      </c>
      <c r="B61" t="s">
        <v>46</v>
      </c>
      <c r="C61" t="s">
        <v>18</v>
      </c>
      <c r="D61" s="15">
        <v>45365</v>
      </c>
      <c r="E61" t="s">
        <v>19</v>
      </c>
      <c r="F61">
        <v>15</v>
      </c>
      <c r="G61" t="s">
        <v>27</v>
      </c>
      <c r="H61" t="s">
        <v>19</v>
      </c>
      <c r="I61">
        <v>30</v>
      </c>
      <c r="J61" t="s">
        <v>19</v>
      </c>
      <c r="K61">
        <v>20</v>
      </c>
      <c r="L61">
        <v>7</v>
      </c>
      <c r="M61">
        <v>58</v>
      </c>
    </row>
    <row r="62" spans="1:13">
      <c r="A62">
        <v>3476</v>
      </c>
      <c r="B62" t="s">
        <v>263</v>
      </c>
      <c r="C62" t="s">
        <v>18</v>
      </c>
      <c r="D62" s="15">
        <v>45593</v>
      </c>
      <c r="E62" t="s">
        <v>19</v>
      </c>
      <c r="F62">
        <v>15</v>
      </c>
      <c r="G62" t="s">
        <v>27</v>
      </c>
      <c r="H62" t="s">
        <v>19</v>
      </c>
      <c r="I62">
        <v>30</v>
      </c>
      <c r="J62" t="s">
        <v>19</v>
      </c>
      <c r="K62">
        <v>20</v>
      </c>
      <c r="L62">
        <v>7</v>
      </c>
      <c r="M62">
        <v>58</v>
      </c>
    </row>
    <row r="63" spans="1:13">
      <c r="A63">
        <v>3464</v>
      </c>
      <c r="B63" t="s">
        <v>252</v>
      </c>
      <c r="C63" t="s">
        <v>18</v>
      </c>
      <c r="D63" s="15">
        <v>45581</v>
      </c>
      <c r="E63" t="s">
        <v>19</v>
      </c>
      <c r="F63">
        <v>15</v>
      </c>
      <c r="G63" t="s">
        <v>27</v>
      </c>
      <c r="H63" t="s">
        <v>19</v>
      </c>
      <c r="I63">
        <v>30</v>
      </c>
      <c r="J63" t="s">
        <v>19</v>
      </c>
      <c r="K63">
        <v>20</v>
      </c>
      <c r="L63">
        <v>7</v>
      </c>
      <c r="M63">
        <v>58</v>
      </c>
    </row>
    <row r="64" spans="1:13">
      <c r="A64">
        <v>3452</v>
      </c>
      <c r="B64" t="s">
        <v>220</v>
      </c>
      <c r="C64" t="s">
        <v>18</v>
      </c>
      <c r="D64" s="15">
        <v>45569</v>
      </c>
      <c r="E64" t="s">
        <v>19</v>
      </c>
      <c r="F64">
        <v>15</v>
      </c>
      <c r="G64" t="s">
        <v>27</v>
      </c>
      <c r="H64" t="s">
        <v>19</v>
      </c>
      <c r="I64">
        <v>30</v>
      </c>
      <c r="J64" t="s">
        <v>19</v>
      </c>
      <c r="K64">
        <v>20</v>
      </c>
      <c r="L64">
        <v>7</v>
      </c>
      <c r="M64">
        <v>58</v>
      </c>
    </row>
    <row r="65" spans="1:13">
      <c r="A65">
        <v>3260</v>
      </c>
      <c r="B65" t="s">
        <v>58</v>
      </c>
      <c r="C65" t="s">
        <v>18</v>
      </c>
      <c r="D65" s="15">
        <v>45377</v>
      </c>
      <c r="E65" t="s">
        <v>19</v>
      </c>
      <c r="F65">
        <v>15</v>
      </c>
      <c r="G65" t="s">
        <v>27</v>
      </c>
      <c r="H65" t="s">
        <v>19</v>
      </c>
      <c r="I65">
        <v>30</v>
      </c>
      <c r="J65" t="s">
        <v>19</v>
      </c>
      <c r="K65">
        <v>20</v>
      </c>
      <c r="L65">
        <v>7</v>
      </c>
      <c r="M65">
        <v>58</v>
      </c>
    </row>
    <row r="66" spans="1:13">
      <c r="A66">
        <v>3443</v>
      </c>
      <c r="B66" t="s">
        <v>235</v>
      </c>
      <c r="C66" t="s">
        <v>18</v>
      </c>
      <c r="D66" s="15">
        <v>45560</v>
      </c>
      <c r="E66" t="s">
        <v>23</v>
      </c>
      <c r="F66">
        <v>15</v>
      </c>
      <c r="G66" t="s">
        <v>27</v>
      </c>
      <c r="H66" t="s">
        <v>19</v>
      </c>
      <c r="I66">
        <v>30</v>
      </c>
      <c r="J66" t="s">
        <v>19</v>
      </c>
      <c r="K66">
        <v>20</v>
      </c>
      <c r="L66">
        <v>20</v>
      </c>
      <c r="M66">
        <v>45</v>
      </c>
    </row>
    <row r="67" spans="1:13">
      <c r="A67">
        <v>3437</v>
      </c>
      <c r="B67" t="s">
        <v>229</v>
      </c>
      <c r="C67" t="s">
        <v>18</v>
      </c>
      <c r="D67" s="15">
        <v>45554</v>
      </c>
      <c r="E67" t="s">
        <v>23</v>
      </c>
      <c r="F67">
        <v>15</v>
      </c>
      <c r="G67" t="s">
        <v>27</v>
      </c>
      <c r="H67" t="s">
        <v>19</v>
      </c>
      <c r="I67">
        <v>30</v>
      </c>
      <c r="J67" t="s">
        <v>19</v>
      </c>
      <c r="K67">
        <v>20</v>
      </c>
      <c r="L67">
        <v>7</v>
      </c>
      <c r="M67">
        <v>58</v>
      </c>
    </row>
    <row r="68" spans="1:13">
      <c r="A68">
        <v>3434</v>
      </c>
      <c r="B68" t="s">
        <v>226</v>
      </c>
      <c r="C68" t="s">
        <v>18</v>
      </c>
      <c r="D68" s="15">
        <v>45551</v>
      </c>
      <c r="E68" t="s">
        <v>19</v>
      </c>
      <c r="F68">
        <v>15</v>
      </c>
      <c r="G68" t="s">
        <v>27</v>
      </c>
      <c r="H68" t="s">
        <v>19</v>
      </c>
      <c r="I68">
        <v>30</v>
      </c>
      <c r="J68" t="s">
        <v>19</v>
      </c>
      <c r="K68">
        <v>20</v>
      </c>
      <c r="L68">
        <v>7</v>
      </c>
      <c r="M68">
        <v>58</v>
      </c>
    </row>
    <row r="69" spans="1:13">
      <c r="A69">
        <v>3267</v>
      </c>
      <c r="B69" t="s">
        <v>65</v>
      </c>
      <c r="C69" t="s">
        <v>18</v>
      </c>
      <c r="D69" s="15">
        <v>45384</v>
      </c>
      <c r="E69" t="s">
        <v>23</v>
      </c>
      <c r="F69">
        <v>15</v>
      </c>
      <c r="G69" t="s">
        <v>27</v>
      </c>
      <c r="H69" t="s">
        <v>19</v>
      </c>
      <c r="I69">
        <v>30</v>
      </c>
      <c r="J69" t="s">
        <v>19</v>
      </c>
      <c r="K69">
        <v>20</v>
      </c>
      <c r="L69">
        <v>7</v>
      </c>
      <c r="M69">
        <v>58</v>
      </c>
    </row>
    <row r="70" spans="1:13">
      <c r="A70">
        <v>3422</v>
      </c>
      <c r="B70" t="s">
        <v>216</v>
      </c>
      <c r="C70" t="s">
        <v>18</v>
      </c>
      <c r="D70" s="15">
        <v>45539</v>
      </c>
      <c r="E70" t="s">
        <v>19</v>
      </c>
      <c r="F70">
        <v>15</v>
      </c>
      <c r="G70" t="s">
        <v>27</v>
      </c>
      <c r="H70" t="s">
        <v>19</v>
      </c>
      <c r="I70">
        <v>30</v>
      </c>
      <c r="J70" t="s">
        <v>19</v>
      </c>
      <c r="K70">
        <v>20</v>
      </c>
      <c r="L70">
        <v>7</v>
      </c>
      <c r="M70">
        <v>58</v>
      </c>
    </row>
    <row r="71" spans="1:13">
      <c r="A71">
        <v>3273</v>
      </c>
      <c r="B71" t="s">
        <v>71</v>
      </c>
      <c r="C71" t="s">
        <v>18</v>
      </c>
      <c r="D71" s="15">
        <v>45390</v>
      </c>
      <c r="E71" t="s">
        <v>23</v>
      </c>
      <c r="F71">
        <v>15</v>
      </c>
      <c r="G71" t="s">
        <v>27</v>
      </c>
      <c r="H71" t="s">
        <v>19</v>
      </c>
      <c r="I71">
        <v>30</v>
      </c>
      <c r="J71" t="s">
        <v>19</v>
      </c>
      <c r="K71">
        <v>20</v>
      </c>
      <c r="L71">
        <v>20</v>
      </c>
      <c r="M71">
        <v>45</v>
      </c>
    </row>
    <row r="72" spans="1:13">
      <c r="A72">
        <v>3413</v>
      </c>
      <c r="B72" t="s">
        <v>208</v>
      </c>
      <c r="C72" t="s">
        <v>18</v>
      </c>
      <c r="D72" s="15">
        <v>45530</v>
      </c>
      <c r="E72" t="s">
        <v>23</v>
      </c>
      <c r="F72">
        <v>15</v>
      </c>
      <c r="G72" t="s">
        <v>27</v>
      </c>
      <c r="H72" t="s">
        <v>19</v>
      </c>
      <c r="I72">
        <v>30</v>
      </c>
      <c r="J72" t="s">
        <v>19</v>
      </c>
      <c r="K72">
        <v>20</v>
      </c>
      <c r="L72">
        <v>20</v>
      </c>
      <c r="M72">
        <v>45</v>
      </c>
    </row>
    <row r="73" spans="1:13">
      <c r="A73">
        <v>3407</v>
      </c>
      <c r="B73" t="s">
        <v>202</v>
      </c>
      <c r="C73" t="s">
        <v>18</v>
      </c>
      <c r="D73" s="15">
        <v>45524</v>
      </c>
      <c r="E73" t="s">
        <v>23</v>
      </c>
      <c r="F73">
        <v>15</v>
      </c>
      <c r="G73" t="s">
        <v>27</v>
      </c>
      <c r="H73" t="s">
        <v>19</v>
      </c>
      <c r="I73">
        <v>30</v>
      </c>
      <c r="J73" t="s">
        <v>19</v>
      </c>
      <c r="K73">
        <v>20</v>
      </c>
      <c r="L73">
        <v>7</v>
      </c>
      <c r="M73">
        <v>58</v>
      </c>
    </row>
    <row r="74" spans="1:13">
      <c r="A74">
        <v>3394</v>
      </c>
      <c r="B74" t="s">
        <v>190</v>
      </c>
      <c r="C74" t="s">
        <v>18</v>
      </c>
      <c r="D74" s="15">
        <v>45511</v>
      </c>
      <c r="E74" t="s">
        <v>19</v>
      </c>
      <c r="F74">
        <v>15</v>
      </c>
      <c r="G74" t="s">
        <v>27</v>
      </c>
      <c r="H74" t="s">
        <v>19</v>
      </c>
      <c r="I74">
        <v>30</v>
      </c>
      <c r="J74" t="s">
        <v>19</v>
      </c>
      <c r="K74">
        <v>20</v>
      </c>
      <c r="L74">
        <v>7</v>
      </c>
      <c r="M74">
        <v>58</v>
      </c>
    </row>
    <row r="75" spans="1:13">
      <c r="A75">
        <v>3282</v>
      </c>
      <c r="B75" t="s">
        <v>80</v>
      </c>
      <c r="C75" t="s">
        <v>18</v>
      </c>
      <c r="D75" s="15">
        <v>45399</v>
      </c>
      <c r="E75" t="s">
        <v>19</v>
      </c>
      <c r="F75">
        <v>15</v>
      </c>
      <c r="G75" t="s">
        <v>27</v>
      </c>
      <c r="H75" t="s">
        <v>19</v>
      </c>
      <c r="I75">
        <v>30</v>
      </c>
      <c r="J75" t="s">
        <v>19</v>
      </c>
      <c r="K75">
        <v>20</v>
      </c>
      <c r="L75">
        <v>7</v>
      </c>
      <c r="M75">
        <v>58</v>
      </c>
    </row>
    <row r="76" spans="1:13">
      <c r="A76">
        <v>3382</v>
      </c>
      <c r="B76" t="s">
        <v>179</v>
      </c>
      <c r="C76" t="s">
        <v>18</v>
      </c>
      <c r="D76" s="15">
        <v>45499</v>
      </c>
      <c r="E76" t="s">
        <v>19</v>
      </c>
      <c r="F76">
        <v>15</v>
      </c>
      <c r="G76" t="s">
        <v>27</v>
      </c>
      <c r="H76" t="s">
        <v>19</v>
      </c>
      <c r="I76">
        <v>30</v>
      </c>
      <c r="J76" t="s">
        <v>19</v>
      </c>
      <c r="K76">
        <v>20</v>
      </c>
      <c r="L76">
        <v>7</v>
      </c>
      <c r="M76">
        <v>58</v>
      </c>
    </row>
    <row r="77" spans="1:13">
      <c r="A77">
        <v>3373</v>
      </c>
      <c r="B77" t="s">
        <v>170</v>
      </c>
      <c r="C77" t="s">
        <v>18</v>
      </c>
      <c r="D77" s="15">
        <v>45490</v>
      </c>
      <c r="E77" t="s">
        <v>23</v>
      </c>
      <c r="F77">
        <v>15</v>
      </c>
      <c r="G77" t="s">
        <v>27</v>
      </c>
      <c r="H77" t="s">
        <v>19</v>
      </c>
      <c r="I77">
        <v>30</v>
      </c>
      <c r="J77" t="s">
        <v>19</v>
      </c>
      <c r="K77">
        <v>20</v>
      </c>
      <c r="L77">
        <v>20</v>
      </c>
      <c r="M77">
        <v>45</v>
      </c>
    </row>
    <row r="78" spans="1:13">
      <c r="A78">
        <v>3367</v>
      </c>
      <c r="B78" t="s">
        <v>164</v>
      </c>
      <c r="C78" t="s">
        <v>18</v>
      </c>
      <c r="D78" s="15">
        <v>45484</v>
      </c>
      <c r="E78" t="s">
        <v>23</v>
      </c>
      <c r="F78">
        <v>15</v>
      </c>
      <c r="G78" t="s">
        <v>27</v>
      </c>
      <c r="H78" t="s">
        <v>19</v>
      </c>
      <c r="I78">
        <v>30</v>
      </c>
      <c r="J78" t="s">
        <v>19</v>
      </c>
      <c r="K78">
        <v>20</v>
      </c>
      <c r="L78">
        <v>7</v>
      </c>
      <c r="M78">
        <v>58</v>
      </c>
    </row>
    <row r="79" spans="1:13">
      <c r="A79">
        <v>3364</v>
      </c>
      <c r="B79" t="s">
        <v>161</v>
      </c>
      <c r="C79" t="s">
        <v>18</v>
      </c>
      <c r="D79" s="15">
        <v>45481</v>
      </c>
      <c r="E79" t="s">
        <v>19</v>
      </c>
      <c r="F79">
        <v>15</v>
      </c>
      <c r="G79" t="s">
        <v>27</v>
      </c>
      <c r="H79" t="s">
        <v>19</v>
      </c>
      <c r="I79">
        <v>30</v>
      </c>
      <c r="J79" t="s">
        <v>19</v>
      </c>
      <c r="K79">
        <v>20</v>
      </c>
      <c r="L79">
        <v>7</v>
      </c>
      <c r="M79">
        <v>58</v>
      </c>
    </row>
    <row r="80" spans="1:13">
      <c r="A80">
        <v>3294</v>
      </c>
      <c r="B80" t="s">
        <v>92</v>
      </c>
      <c r="C80" t="s">
        <v>18</v>
      </c>
      <c r="D80" s="15">
        <v>45411</v>
      </c>
      <c r="E80" t="s">
        <v>19</v>
      </c>
      <c r="F80">
        <v>15</v>
      </c>
      <c r="G80" t="s">
        <v>27</v>
      </c>
      <c r="H80" t="s">
        <v>19</v>
      </c>
      <c r="I80">
        <v>30</v>
      </c>
      <c r="J80" t="s">
        <v>19</v>
      </c>
      <c r="K80">
        <v>20</v>
      </c>
      <c r="L80">
        <v>20</v>
      </c>
      <c r="M80">
        <v>45</v>
      </c>
    </row>
    <row r="81" spans="1:13">
      <c r="A81">
        <v>3297</v>
      </c>
      <c r="B81" t="s">
        <v>95</v>
      </c>
      <c r="C81" t="s">
        <v>18</v>
      </c>
      <c r="D81" s="15">
        <v>45414</v>
      </c>
      <c r="E81" t="s">
        <v>19</v>
      </c>
      <c r="F81">
        <v>15</v>
      </c>
      <c r="G81" t="s">
        <v>27</v>
      </c>
      <c r="H81" t="s">
        <v>19</v>
      </c>
      <c r="I81">
        <v>30</v>
      </c>
      <c r="J81" t="s">
        <v>19</v>
      </c>
      <c r="K81">
        <v>20</v>
      </c>
      <c r="L81">
        <v>7</v>
      </c>
      <c r="M81">
        <v>58</v>
      </c>
    </row>
    <row r="82" spans="1:13">
      <c r="A82">
        <v>3352</v>
      </c>
      <c r="B82" t="s">
        <v>149</v>
      </c>
      <c r="C82" t="s">
        <v>18</v>
      </c>
      <c r="D82" s="15">
        <v>45469</v>
      </c>
      <c r="E82" t="s">
        <v>19</v>
      </c>
      <c r="F82">
        <v>15</v>
      </c>
      <c r="G82" t="s">
        <v>27</v>
      </c>
      <c r="H82" t="s">
        <v>19</v>
      </c>
      <c r="I82">
        <v>30</v>
      </c>
      <c r="J82" t="s">
        <v>19</v>
      </c>
      <c r="K82">
        <v>20</v>
      </c>
      <c r="L82">
        <v>7</v>
      </c>
      <c r="M82">
        <v>58</v>
      </c>
    </row>
    <row r="83" spans="1:13">
      <c r="A83">
        <v>3343</v>
      </c>
      <c r="B83" t="s">
        <v>141</v>
      </c>
      <c r="C83" t="s">
        <v>18</v>
      </c>
      <c r="D83" s="15">
        <v>45460</v>
      </c>
      <c r="E83" t="s">
        <v>23</v>
      </c>
      <c r="F83">
        <v>15</v>
      </c>
      <c r="G83" t="s">
        <v>27</v>
      </c>
      <c r="H83" t="s">
        <v>19</v>
      </c>
      <c r="I83">
        <v>30</v>
      </c>
      <c r="J83" t="s">
        <v>19</v>
      </c>
      <c r="K83">
        <v>20</v>
      </c>
      <c r="L83">
        <v>20</v>
      </c>
      <c r="M83">
        <v>45</v>
      </c>
    </row>
    <row r="84" spans="1:13">
      <c r="A84">
        <v>3303</v>
      </c>
      <c r="B84" t="s">
        <v>101</v>
      </c>
      <c r="C84" t="s">
        <v>18</v>
      </c>
      <c r="D84" s="15">
        <v>45420</v>
      </c>
      <c r="E84" t="s">
        <v>19</v>
      </c>
      <c r="F84">
        <v>15</v>
      </c>
      <c r="G84" t="s">
        <v>27</v>
      </c>
      <c r="H84" t="s">
        <v>19</v>
      </c>
      <c r="I84">
        <v>30</v>
      </c>
      <c r="J84" t="s">
        <v>19</v>
      </c>
      <c r="K84">
        <v>20</v>
      </c>
      <c r="L84">
        <v>20</v>
      </c>
      <c r="M84">
        <v>45</v>
      </c>
    </row>
    <row r="85" spans="1:13">
      <c r="A85">
        <v>3337</v>
      </c>
      <c r="B85" t="s">
        <v>135</v>
      </c>
      <c r="C85" t="s">
        <v>18</v>
      </c>
      <c r="D85" s="15">
        <v>45454</v>
      </c>
      <c r="E85" t="s">
        <v>23</v>
      </c>
      <c r="F85">
        <v>15</v>
      </c>
      <c r="G85" t="s">
        <v>27</v>
      </c>
      <c r="H85" t="s">
        <v>19</v>
      </c>
      <c r="I85">
        <v>30</v>
      </c>
      <c r="J85" t="s">
        <v>19</v>
      </c>
      <c r="K85">
        <v>20</v>
      </c>
      <c r="L85">
        <v>7</v>
      </c>
      <c r="M85">
        <v>58</v>
      </c>
    </row>
    <row r="86" spans="1:13">
      <c r="A86">
        <v>3333</v>
      </c>
      <c r="B86" t="s">
        <v>131</v>
      </c>
      <c r="C86" t="s">
        <v>18</v>
      </c>
      <c r="D86" s="15">
        <v>45450</v>
      </c>
      <c r="E86" t="s">
        <v>19</v>
      </c>
      <c r="F86">
        <v>15</v>
      </c>
      <c r="G86" t="s">
        <v>27</v>
      </c>
      <c r="H86" t="s">
        <v>19</v>
      </c>
      <c r="I86">
        <v>30</v>
      </c>
      <c r="J86" t="s">
        <v>19</v>
      </c>
      <c r="K86">
        <v>20</v>
      </c>
      <c r="L86">
        <v>20</v>
      </c>
      <c r="M86">
        <v>45</v>
      </c>
    </row>
    <row r="87" spans="1:13">
      <c r="A87">
        <v>3312</v>
      </c>
      <c r="B87" t="s">
        <v>110</v>
      </c>
      <c r="C87" t="s">
        <v>18</v>
      </c>
      <c r="D87" s="15">
        <v>45429</v>
      </c>
      <c r="E87" t="s">
        <v>23</v>
      </c>
      <c r="F87">
        <v>15</v>
      </c>
      <c r="G87" t="s">
        <v>27</v>
      </c>
      <c r="H87" t="s">
        <v>19</v>
      </c>
      <c r="I87">
        <v>30</v>
      </c>
      <c r="J87" t="s">
        <v>19</v>
      </c>
      <c r="K87">
        <v>20</v>
      </c>
      <c r="L87">
        <v>7</v>
      </c>
      <c r="M87">
        <v>58</v>
      </c>
    </row>
    <row r="88" spans="1:13">
      <c r="A88">
        <v>3324</v>
      </c>
      <c r="B88" t="s">
        <v>122</v>
      </c>
      <c r="C88" t="s">
        <v>18</v>
      </c>
      <c r="D88" s="15">
        <v>45441</v>
      </c>
      <c r="E88" t="s">
        <v>23</v>
      </c>
      <c r="F88">
        <v>15</v>
      </c>
      <c r="G88" t="s">
        <v>27</v>
      </c>
      <c r="H88" t="s">
        <v>19</v>
      </c>
      <c r="I88">
        <v>30</v>
      </c>
      <c r="J88" t="s">
        <v>19</v>
      </c>
      <c r="K88">
        <v>20</v>
      </c>
      <c r="L88">
        <v>20</v>
      </c>
      <c r="M88">
        <v>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2301-2EDE-4066-945D-2A1364ED7648}">
  <sheetPr>
    <tabColor theme="3" tint="0.749992370372631"/>
  </sheetPr>
  <dimension ref="A1:E24"/>
  <sheetViews>
    <sheetView topLeftCell="A10" workbookViewId="0">
      <selection activeCell="D10" sqref="D10"/>
    </sheetView>
  </sheetViews>
  <sheetFormatPr defaultRowHeight="15"/>
  <cols>
    <col min="1" max="1" width="18.42578125" bestFit="1" customWidth="1"/>
    <col min="2" max="2" width="35.140625" bestFit="1" customWidth="1"/>
    <col min="3" max="3" width="37.7109375" bestFit="1" customWidth="1"/>
    <col min="4" max="4" width="20" customWidth="1"/>
    <col min="5" max="5" width="12.140625" bestFit="1" customWidth="1"/>
  </cols>
  <sheetData>
    <row r="1" spans="1:3">
      <c r="A1" s="12" t="s">
        <v>16</v>
      </c>
      <c r="B1" t="s">
        <v>24</v>
      </c>
    </row>
    <row r="2" spans="1:3">
      <c r="A2" s="12" t="s">
        <v>12</v>
      </c>
      <c r="B2" t="s">
        <v>316</v>
      </c>
    </row>
    <row r="4" spans="1:3">
      <c r="A4" s="12" t="s">
        <v>313</v>
      </c>
      <c r="B4" t="s">
        <v>315</v>
      </c>
    </row>
    <row r="5" spans="1:3">
      <c r="A5" s="13" t="s">
        <v>23</v>
      </c>
      <c r="B5" s="14">
        <v>217</v>
      </c>
    </row>
    <row r="6" spans="1:3">
      <c r="A6" s="13" t="s">
        <v>19</v>
      </c>
      <c r="B6" s="14">
        <v>1537</v>
      </c>
    </row>
    <row r="7" spans="1:3">
      <c r="A7" s="13" t="s">
        <v>314</v>
      </c>
      <c r="B7" s="14">
        <v>1754</v>
      </c>
    </row>
    <row r="9" spans="1:3">
      <c r="A9" s="12" t="s">
        <v>16</v>
      </c>
      <c r="B9" t="s">
        <v>24</v>
      </c>
    </row>
    <row r="10" spans="1:3">
      <c r="A10" s="12" t="s">
        <v>12</v>
      </c>
      <c r="B10" t="s">
        <v>316</v>
      </c>
    </row>
    <row r="12" spans="1:3">
      <c r="A12" s="12" t="s">
        <v>313</v>
      </c>
      <c r="B12" t="s">
        <v>317</v>
      </c>
      <c r="C12" t="s">
        <v>318</v>
      </c>
    </row>
    <row r="13" spans="1:3">
      <c r="A13" s="13" t="s">
        <v>22</v>
      </c>
      <c r="B13" s="19">
        <v>24</v>
      </c>
      <c r="C13" s="19">
        <v>24</v>
      </c>
    </row>
    <row r="14" spans="1:3">
      <c r="A14" s="13" t="s">
        <v>26</v>
      </c>
      <c r="B14" s="19">
        <v>27</v>
      </c>
      <c r="C14" s="19">
        <v>27</v>
      </c>
    </row>
    <row r="15" spans="1:3">
      <c r="A15" s="13" t="s">
        <v>18</v>
      </c>
      <c r="B15" s="19">
        <v>20</v>
      </c>
      <c r="C15" s="19">
        <v>20</v>
      </c>
    </row>
    <row r="16" spans="1:3">
      <c r="A16" s="13" t="s">
        <v>314</v>
      </c>
      <c r="B16" s="19">
        <v>71</v>
      </c>
      <c r="C16" s="17">
        <v>71</v>
      </c>
    </row>
    <row r="18" spans="1:5">
      <c r="A18" s="12" t="s">
        <v>16</v>
      </c>
      <c r="B18" t="s">
        <v>24</v>
      </c>
    </row>
    <row r="19" spans="1:5">
      <c r="A19" s="12" t="s">
        <v>12</v>
      </c>
      <c r="B19" t="s">
        <v>316</v>
      </c>
    </row>
    <row r="21" spans="1:5">
      <c r="A21" s="12" t="s">
        <v>313</v>
      </c>
      <c r="B21" t="s">
        <v>320</v>
      </c>
    </row>
    <row r="22" spans="1:5">
      <c r="A22" s="13" t="s">
        <v>23</v>
      </c>
      <c r="B22" s="14">
        <v>120</v>
      </c>
    </row>
    <row r="23" spans="1:5">
      <c r="A23" s="13" t="s">
        <v>19</v>
      </c>
      <c r="B23" s="14">
        <v>820</v>
      </c>
      <c r="E23" s="17">
        <f>GETPIVOTDATA("Minecraft Season Pass Price",$A$21)</f>
        <v>940</v>
      </c>
    </row>
    <row r="24" spans="1:5">
      <c r="A24" s="13" t="s">
        <v>314</v>
      </c>
      <c r="B24" s="14">
        <v>940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D10" sqref="D10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"/>
  <sheetViews>
    <sheetView showGridLines="0" workbookViewId="0">
      <selection activeCell="D10" sqref="D10"/>
    </sheetView>
  </sheetViews>
  <sheetFormatPr defaultRowHeight="15"/>
  <cols>
    <col min="3" max="3" width="18.42578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tabColor rgb="FF4ADE80"/>
  </sheetPr>
  <dimension ref="A1:R15"/>
  <sheetViews>
    <sheetView tabSelected="1" zoomScaleNormal="100" workbookViewId="0">
      <selection activeCell="S15" sqref="S15"/>
    </sheetView>
  </sheetViews>
  <sheetFormatPr defaultRowHeight="15"/>
  <cols>
    <col min="1" max="1" width="21.85546875" style="18" customWidth="1"/>
    <col min="2" max="2" width="3.5703125" style="20" customWidth="1"/>
    <col min="3" max="11" width="9.140625" style="20"/>
    <col min="12" max="12" width="6.5703125" style="20" customWidth="1"/>
    <col min="13" max="18" width="9.140625" style="20"/>
    <col min="19" max="16384" width="9.140625" style="7"/>
  </cols>
  <sheetData>
    <row r="1" spans="1:18" customFormat="1">
      <c r="A1" s="18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customFormat="1" ht="27" thickBot="1">
      <c r="A2" s="18"/>
      <c r="B2" s="20"/>
      <c r="C2" s="26" t="s">
        <v>321</v>
      </c>
      <c r="D2" s="21"/>
      <c r="E2" s="21"/>
      <c r="F2" s="21"/>
      <c r="G2" s="21"/>
      <c r="H2" s="21"/>
      <c r="I2" s="21"/>
      <c r="J2" s="21"/>
      <c r="K2" s="21"/>
      <c r="L2" s="22"/>
      <c r="M2" s="22"/>
      <c r="N2" s="22"/>
      <c r="O2" s="22"/>
      <c r="P2" s="22"/>
      <c r="Q2" s="22"/>
      <c r="R2" s="22"/>
    </row>
    <row r="3" spans="1:18" customFormat="1" ht="21" thickTop="1">
      <c r="A3" s="18"/>
      <c r="B3" s="20"/>
      <c r="C3" s="23"/>
      <c r="D3" s="24"/>
      <c r="E3" s="24"/>
      <c r="F3" s="24"/>
      <c r="G3" s="24"/>
      <c r="H3" s="24"/>
      <c r="I3" s="24"/>
      <c r="J3" s="24"/>
      <c r="K3" s="24"/>
      <c r="L3" s="20"/>
      <c r="M3" s="20"/>
      <c r="N3" s="20"/>
      <c r="O3" s="20"/>
      <c r="P3" s="20"/>
      <c r="Q3" s="20"/>
      <c r="R3" s="20"/>
    </row>
    <row r="4" spans="1:18" customFormat="1">
      <c r="A4" s="18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15" spans="1:18">
      <c r="C15" s="25" t="s">
        <v>322</v>
      </c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A̳ssets</vt:lpstr>
      <vt:lpstr>Detalhes1</vt:lpstr>
      <vt:lpstr>Planilha1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Thiago Sperate</cp:lastModifiedBy>
  <dcterms:created xsi:type="dcterms:W3CDTF">2024-12-19T13:13:10Z</dcterms:created>
  <dcterms:modified xsi:type="dcterms:W3CDTF">2026-01-15T01:43:57Z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